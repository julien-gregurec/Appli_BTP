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e0c127dfc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b68ccb981f4cf6"/>
    <x:sheet xmlns:r="http://schemas.openxmlformats.org/officeDocument/2006/relationships" name="PROSPECTS" sheetId="2" r:id="R5f2d04a6b2af471f"/>
    <x:sheet xmlns:r="http://schemas.openxmlformats.org/officeDocument/2006/relationships" name="ACTIONS" sheetId="3" r:id="Rcb82c40fed024b68"/>
    <x:sheet xmlns:r="http://schemas.openxmlformats.org/officeDocument/2006/relationships" name="OPPOSITIONS" sheetId="4" r:id="R367c1234ab8d4dad"/>
    <x:sheet xmlns:r="http://schemas.openxmlformats.org/officeDocument/2006/relationships" name="TABLEAU_DE_BORD" sheetId="5" r:id="R88989e0a06794734"/>
    <x:sheet xmlns:r="http://schemas.openxmlformats.org/officeDocument/2006/relationships" name="LISTES" sheetId="6" r:id="R3b91254b6d9d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yyyy-mm-dd hh:mm"/>
    <x:numFmt numFmtId="203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C9D7EE"/>
      <x:name val="Carlito"/>
    </x:font>
    <x:font>
      <x:b/>
      <x:sz val="11"/>
      <x:color rgb="FF2F76FF"/>
      <x:name val="Carlito"/>
    </x:font>
    <x:font>
      <x:b/>
      <x:sz val="9"/>
      <x:color rgb="FFFFFFFF"/>
      <x:name val="Carlito"/>
    </x:font>
    <x:font>
      <x:i/>
      <x:sz val="11"/>
      <x:color rgb="FF61708A"/>
      <x:name val="Carlito"/>
    </x:font>
    <x:font>
      <x:sz val="9"/>
      <x:color rgb="FF15233B"/>
      <x:name val="Carlito"/>
    </x:font>
    <x:font>
      <x:b/>
      <x:sz val="11"/>
      <x:color rgb="FF9B1C1C"/>
      <x:name val="Carlito"/>
    </x:font>
    <x:font>
      <x:b/>
      <x:sz val="12"/>
      <x:color rgb="FF2F76FF"/>
      <x:name val="Carlito"/>
    </x:font>
    <x:font>
      <x:b/>
      <x:sz val="11"/>
      <x:color rgb="FF9A4B00"/>
      <x:name val="Carlito"/>
    </x:font>
    <x:font>
      <x:sz val="11"/>
      <x:color rgb="FF15233B"/>
      <x:name val="Carlito"/>
    </x:font>
    <x:font>
      <x:b/>
      <x:sz val="10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71225"/>
      </x:patternFill>
    </x:fill>
    <x:fill>
      <x:patternFill patternType="solid">
        <x:fgColor rgb="FF10213F"/>
      </x:patternFill>
    </x:fill>
    <x:fill>
      <x:patternFill patternType="solid">
        <x:fgColor rgb="FFE8F0FF"/>
      </x:patternFill>
    </x:fill>
    <x:fill>
      <x:patternFill patternType="solid">
        <x:fgColor rgb="FF2F76FF"/>
      </x:patternFill>
    </x:fill>
    <x:fill>
      <x:patternFill patternType="solid">
        <x:fgColor rgb="FFF4F7FB"/>
      </x:patternFill>
    </x:fill>
    <x:fill>
      <x:patternFill patternType="solid">
        <x:fgColor rgb="FFFFF5CC"/>
      </x:patternFill>
    </x:fill>
    <x:fill>
      <x:patternFill patternType="solid">
        <x:fgColor rgb="FFE9F4FF"/>
      </x:patternFill>
    </x:fill>
    <x:fill>
      <x:patternFill patternType="solid">
        <x:fgColor rgb="FFFCE3E3"/>
      </x:patternFill>
    </x:fill>
    <x:fill>
      <x:patternFill patternType="solid">
        <x:fgColor rgb="FFFFF1F1"/>
      </x:patternFill>
    </x:fill>
    <x:fill>
      <x:patternFill patternType="solid">
        <x:fgColor rgb="FFFFF0D8"/>
      </x:patternFill>
    </x:fill>
    <x:fill>
      <x:patternFill patternType="solid">
        <x:fgColor rgb="FFFFF8EC"/>
      </x:patternFill>
    </x:fill>
    <x:fill>
      <x:patternFill patternType="solid">
        <x:fgColor rgb="FF3478F6"/>
      </x:patternFill>
    </x:fill>
  </x:fills>
  <x:borders count="7">
    <x:border/>
    <x:border>
      <x:left style="thin">
        <x:color rgb="FF10213F"/>
      </x:left>
      <x:top style="thin">
        <x:color rgb="FF10213F"/>
      </x:top>
      <x:bottom style="thin">
        <x:color rgb="FF10213F"/>
      </x:bottom>
    </x:border>
    <x:border>
      <x:right style="thin">
        <x:color rgb="FF10213F"/>
      </x:right>
      <x:top style="thin">
        <x:color rgb="FF10213F"/>
      </x:top>
      <x:bottom style="thin">
        <x:color rgb="FF10213F"/>
      </x:bottom>
    </x:border>
    <x:border>
      <x:bottom style="thin">
        <x:color rgb="FFD9E2F0"/>
      </x:bottom>
    </x:border>
    <x:border>
      <x:top style="thin">
        <x:color rgb="FFD9E2F0"/>
      </x:top>
      <x:bottom style="thin">
        <x:color rgb="FFD9E2F0"/>
      </x:bottom>
    </x:border>
    <x:border>
      <x:top style="thin">
        <x:color rgb="FF10213F"/>
      </x:top>
      <x:bottom style="thin">
        <x:color rgb="FF10213F"/>
      </x:bottom>
    </x:border>
    <x:border>
      <x:left style="thin">
        <x:color rgb="FFD6E2F4"/>
      </x:left>
      <x:right style="thin">
        <x:color rgb="FFD6E2F4"/>
      </x:right>
      <x:top style="thin">
        <x:color rgb="FFD6E2F4"/>
      </x:top>
      <x:bottom style="thin">
        <x:color rgb="FFD6E2F4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top"/>
    </x:xf>
    <x:xf numFmtId="0" fontId="6" fillId="7" borderId="3" xfId="0" applyNumberFormat="1" applyFont="1" applyFill="1" applyBorder="1" applyAlignment="1">
      <x:alignment vertical="top"/>
    </x:xf>
    <x:xf numFmtId="0" fontId="6" fillId="7" borderId="4" xfId="0" applyNumberFormat="1" applyFont="1" applyFill="1" applyBorder="1" applyAlignment="1">
      <x:alignment vertical="top"/>
    </x:xf>
    <x:xf numFmtId="0" fontId="6" fillId="8" borderId="3" xfId="0" applyNumberFormat="1" applyFont="1" applyFill="1" applyBorder="1" applyAlignment="1">
      <x:alignment vertical="top"/>
    </x:xf>
    <x:xf numFmtId="0" fontId="6" fillId="8" borderId="4" xfId="0" applyNumberFormat="1" applyFont="1" applyFill="1" applyBorder="1" applyAlignment="1">
      <x:alignment vertical="top"/>
    </x:xf>
    <x:xf numFmtId="200" fontId="6" fillId="7" borderId="3" xfId="0" applyNumberFormat="1" applyFont="1" applyFill="1" applyBorder="1" applyAlignment="1">
      <x:alignment vertical="top"/>
    </x:xf>
    <x:xf numFmtId="200" fontId="6" fillId="7" borderId="4" xfId="0" applyNumberFormat="1" applyFont="1" applyFill="1" applyBorder="1" applyAlignment="1">
      <x:alignment vertical="top"/>
    </x:xf>
    <x:xf numFmtId="201" fontId="6" fillId="7" borderId="3" xfId="0" applyNumberFormat="1" applyFont="1" applyFill="1" applyBorder="1" applyAlignment="1">
      <x:alignment vertical="top"/>
    </x:xf>
    <x:xf numFmtId="201" fontId="6" fillId="7" borderId="4" xfId="0" applyNumberFormat="1" applyFont="1" applyFill="1" applyBorder="1" applyAlignment="1">
      <x:alignment vertical="top"/>
    </x:xf>
    <x:xf numFmtId="201" fontId="6" fillId="8" borderId="3" xfId="0" applyNumberFormat="1" applyFont="1" applyFill="1" applyBorder="1" applyAlignment="1">
      <x:alignment vertical="top"/>
    </x:xf>
    <x:xf numFmtId="201" fontId="6" fillId="8" borderId="4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202" fontId="6" fillId="7" borderId="3" xfId="0" applyNumberFormat="1" applyFont="1" applyFill="1" applyBorder="1" applyAlignment="1">
      <x:alignment vertical="top" wrapText="1"/>
    </x:xf>
    <x:xf numFmtId="202" fontId="6" fillId="7" borderId="4" xfId="0" applyNumberFormat="1" applyFont="1" applyFill="1" applyBorder="1" applyAlignment="1">
      <x:alignment vertical="top" wrapText="1"/>
    </x:xf>
    <x:xf numFmtId="200" fontId="6" fillId="7" borderId="3" xfId="0" applyNumberFormat="1" applyFont="1" applyFill="1" applyBorder="1" applyAlignment="1">
      <x:alignment vertical="top" wrapText="1"/>
    </x:xf>
    <x:xf numFmtId="200" fontId="6" fillId="7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3" xfId="0" applyNumberFormat="1" applyFont="1" applyFill="1" applyBorder="1" applyAlignment="1">
      <x:alignment vertical="top" wrapText="1"/>
    </x:xf>
    <x:xf numFmtId="0" fontId="6" fillId="10" borderId="4" xfId="0" applyNumberFormat="1" applyFont="1" applyFill="1" applyBorder="1" applyAlignment="1">
      <x:alignment vertical="top" wrapText="1"/>
    </x:xf>
    <x:xf numFmtId="200" fontId="6" fillId="10" borderId="3" xfId="0" applyNumberFormat="1" applyFont="1" applyFill="1" applyBorder="1" applyAlignment="1">
      <x:alignment vertical="top" wrapText="1"/>
    </x:xf>
    <x:xf numFmtId="200" fontId="6" fillId="1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1" fontId="0" fillId="8" borderId="3" xfId="0" applyNumberFormat="1" applyFont="1" applyFill="1" applyBorder="1" applyAlignment="1">
      <x:alignment vertical="center"/>
    </x:xf>
    <x:xf numFmtId="201" fontId="0" fillId="8" borderId="4" xfId="0" applyNumberFormat="1" applyFont="1" applyFill="1" applyBorder="1" applyAlignment="1">
      <x:alignment vertical="center"/>
    </x:xf>
    <x:xf numFmtId="203" fontId="0" fillId="8" borderId="4" xfId="0" applyNumberFormat="1" applyFont="1" applyFill="1" applyBorder="1" applyAlignment="1">
      <x:alignment vertical="center"/>
    </x:xf>
    <x:xf numFmtId="201" fontId="8" fillId="8" borderId="3" xfId="0" applyNumberFormat="1" applyFont="1" applyFill="1" applyBorder="1" applyAlignment="1">
      <x:alignment vertical="center"/>
    </x:xf>
    <x:xf numFmtId="201" fontId="8" fillId="8" borderId="4" xfId="0" applyNumberFormat="1" applyFont="1" applyFill="1" applyBorder="1" applyAlignment="1">
      <x:alignment vertical="center"/>
    </x:xf>
    <x:xf numFmtId="203" fontId="8" fillId="8" borderId="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0" fillId="8" borderId="3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vertical="center"/>
    </x:xf>
    <x:xf numFmtId="0" fontId="11" fillId="13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</x:cellXfs>
  <x:cellStyles count="1">
    <x:cellStyle name="Normal" xfId="0"/>
  </x:cellStyles>
  <x:dxfs count="4">
    <x:dxf>
      <x:font>
        <x:b/>
        <x:color rgb="FF9B1C1C"/>
      </x:font>
      <x:fill>
        <x:patternFill>
          <x:bgColor rgb="FFFCE3E3"/>
        </x:patternFill>
      </x:fill>
    </x:dxf>
    <x:dxf>
      <x:font>
        <x:b/>
        <x:color rgb="FF9B1C1C"/>
      </x:font>
      <x:fill>
        <x:patternFill>
          <x:bgColor rgb="FFFCE3E3"/>
        </x:patternFill>
      </x:fill>
    </x:dxf>
    <x:dxf>
      <x:font>
        <x:b/>
        <x:color rgb="FF166534"/>
      </x:font>
      <x:fill>
        <x:patternFill>
          <x:bgColor rgb="FFDFF3E5"/>
        </x:patternFill>
      </x:fill>
    </x:dxf>
    <x:dxf>
      <x:font>
        <x:b/>
        <x:color rgb="FF9B1C1C"/>
      </x:font>
      <x:fill>
        <x:patternFill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0eb11d2994f35" /><Relationship Type="http://schemas.openxmlformats.org/officeDocument/2006/relationships/theme" Target="/xl/theme/theme1.xml" Id="Rfe76f8d346634ad9" /><Relationship Type="http://schemas.openxmlformats.org/officeDocument/2006/relationships/sharedStrings" Target="/xl/sharedStrings.xml" Id="R898aac5515524aaa" /><Relationship Type="http://schemas.openxmlformats.org/officeDocument/2006/relationships/worksheet" Target="/xl/worksheets/sheet1.xml" Id="R48b68ccb981f4cf6" /><Relationship Type="http://schemas.openxmlformats.org/officeDocument/2006/relationships/worksheet" Target="/xl/worksheets/sheet2.xml" Id="R5f2d04a6b2af471f" /><Relationship Type="http://schemas.openxmlformats.org/officeDocument/2006/relationships/worksheet" Target="/xl/worksheets/sheet3.xml" Id="Rcb82c40fed024b68" /><Relationship Type="http://schemas.openxmlformats.org/officeDocument/2006/relationships/worksheet" Target="/xl/worksheets/sheet4.xml" Id="R367c1234ab8d4dad" /><Relationship Type="http://schemas.openxmlformats.org/officeDocument/2006/relationships/worksheet" Target="/xl/worksheets/sheet5.xml" Id="R88989e0a06794734" /><Relationship Type="http://schemas.openxmlformats.org/officeDocument/2006/relationships/worksheet" Target="/xl/worksheets/sheet6.xml" Id="R3b91254b6d9d41d5" /></Relationships>
</file>

<file path=xl/tables/table1.xml><?xml version="1.0" encoding="utf-8"?>
<x:table xmlns:x="http://schemas.openxmlformats.org/spreadsheetml/2006/main" id="1" name="ProspectsPilote" displayName="ProspectsPilote" ref="A5:BF205" headerRowCount="1" totalsRowCount="0" totalsRowShown="0">
  <x:autoFilter ref="A5:BF205"/>
  <x:tableColumns count="58">
    <x:tableColumn id="1" name="ID_PROSPECT"/>
    <x:tableColumn id="2" name="LOT"/>
    <x:tableColumn id="3" name="PRIORITE_C5A"/>
    <x:tableColumn id="4" name="RAISON_SOCIALE"/>
    <x:tableColumn id="5" name="ENSEIGNE"/>
    <x:tableColumn id="6" name="SIREN"/>
    <x:tableColumn id="7" name="CLE_DEDUPLICATION"/>
    <x:tableColumn id="8" name="VILLE"/>
    <x:tableColumn id="9" name="DEPARTEMENT"/>
    <x:tableColumn id="10" name="DISTANCE_STRASBOURG_KM"/>
    <x:tableColumn id="11" name="ACTIVITE"/>
    <x:tableColumn id="12" name="EFFECTIF_ESTIME"/>
    <x:tableColumn id="13" name="SITE_WEB"/>
    <x:tableColumn id="14" name="TELEPHONE_PROFESSIONNEL"/>
    <x:tableColumn id="15" name="EMAIL_PROFESSIONNEL_PUBLIC"/>
    <x:tableColumn id="16" name="INTERLOCUTEUR_PROFESSIONNEL"/>
    <x:tableColumn id="17" name="ROLE_INTERLOCUTEUR"/>
    <x:tableColumn id="18" name="SOURCE_PRINCIPALE_URL"/>
    <x:tableColumn id="19" name="DATE_COLLECTE"/>
    <x:tableColumn id="20" name="DATE_VERIFICATION"/>
    <x:tableColumn id="21" name="SIGNAL_PUBLIC_FACTUEL"/>
    <x:tableColumn id="22" name="C1_TAILLE"/>
    <x:tableColumn id="23" name="C2_METIER"/>
    <x:tableColumn id="24" name="C3_EQUIPES_CHANTIERS"/>
    <x:tableColumn id="25" name="C4_PLANNING_TEMPS_FRAIS"/>
    <x:tableColumn id="26" name="C5_PARCOURS_COMMERCIAL_CHANTIER"/>
    <x:tableColumn id="27" name="C6_DISPERSION_OUTILS"/>
    <x:tableColumn id="28" name="C7_PILOTAGE_RENTABILITE"/>
    <x:tableColumn id="29" name="C8_ACCES_DECIDEUR"/>
    <x:tableColumn id="30" name="C9_GEOGRAPHIE"/>
    <x:tableColumn id="31" name="C10_DECLENCHEUR_CALENDRIER"/>
    <x:tableColumn id="32" name="NB_CRITERES_DOCUMENTES"/>
    <x:tableColumn id="33" name="SCORE_C5A"/>
    <x:tableColumn id="34" name="CLASSIFICATION_C5A"/>
    <x:tableColumn id="35" name="MOTIF_EXCLUSION"/>
    <x:tableColumn id="36" name="CANAL_INITIAL"/>
    <x:tableColumn id="37" name="DATE_PREMIER_CONTACT"/>
    <x:tableColumn id="38" name="STATUT_PIPELINE"/>
    <x:tableColumn id="39" name="BESOINS_EXPRIMES"/>
    <x:tableColumn id="40" name="OBJECTIONS"/>
    <x:tableColumn id="41" name="OFFRE_POTENTIELLE"/>
    <x:tableColumn id="42" name="DERNIERE_ACTION"/>
    <x:tableColumn id="43" name="DATE_DERNIERE_ACTION"/>
    <x:tableColumn id="44" name="PROCHAINE_ACTION"/>
    <x:tableColumn id="45" name="DATE_PROCHAINE_ACTION"/>
    <x:tableColumn id="46" name="RESPONSABLE"/>
    <x:tableColumn id="47" name="DATE_REPONSE"/>
    <x:tableColumn id="48" name="DATE_ECHANGE"/>
    <x:tableColumn id="49" name="DATE_DEMO_PLANIFIEE"/>
    <x:tableColumn id="50" name="DATE_DEMO_REALISEE"/>
    <x:tableColumn id="51" name="DATE_DEBUT_ESSAI"/>
    <x:tableColumn id="52" name="DATE_FIN_ESSAI"/>
    <x:tableColumn id="53" name="DATE_PROPOSITION"/>
    <x:tableColumn id="54" name="DECISION"/>
    <x:tableColumn id="55" name="RAISON_RESULTAT"/>
    <x:tableColumn id="56" name="DATE_REPRISE"/>
    <x:tableColumn id="57" name="OPPOSITION_OUI_NON"/>
    <x:tableColumn id="58" name="NOTES_FACTUEL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sPilote" displayName="ActionsPilote" ref="A5:M505" headerRowCount="1" totalsRowCount="0" totalsRowShown="0">
  <x:autoFilter ref="A5:M505"/>
  <x:tableColumns count="13">
    <x:tableColumn id="1" name="ID_ACTION"/>
    <x:tableColumn id="2" name="ID_PROSPECT"/>
    <x:tableColumn id="3" name="LOT"/>
    <x:tableColumn id="4" name="DATE_HEURE"/>
    <x:tableColumn id="5" name="CANAL"/>
    <x:tableColumn id="6" name="SENS"/>
    <x:tableColumn id="7" name="TYPE_ACTION"/>
    <x:tableColumn id="8" name="MESSAGE_VARIANTE"/>
    <x:tableColumn id="9" name="RESULTAT_FACTUEL"/>
    <x:tableColumn id="10" name="PROCHAINE_ACTION"/>
    <x:tableColumn id="11" name="DATE_PROCHAINE_ACTION"/>
    <x:tableColumn id="12" name="RESPONSABLE"/>
    <x:tableColumn id="13" name="OPPOSITION_REÇUE_OUI_N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positionsPilote" displayName="OppositionsPilote" ref="A5:H205" headerRowCount="1" totalsRowCount="0" totalsRowShown="0">
  <x:autoFilter ref="A5:H205"/>
  <x:tableColumns count="8">
    <x:tableColumn id="1" name="ID_OPPOSITION"/>
    <x:tableColumn id="2" name="IDENTIFIANT_PROFESSIONNEL_MINIMAL"/>
    <x:tableColumn id="3" name="TYPE_IDENTIFIANT"/>
    <x:tableColumn id="4" name="CANAL"/>
    <x:tableColumn id="5" name="DATE_OPPOSITION"/>
    <x:tableColumn id="6" name="SOURCE_INTERNE"/>
    <x:tableColumn id="7" name="STATUT"/>
    <x:tableColumn id="8" name="TRAITEE_PAR"/>
  </x:tableColumns>
  <x:tableStyleInfo name="TableStyleMedium10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ccbc1c6c6b44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56ac735bbb41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08fbbe8ac6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 ht="32" customHeight="1">
      <x:c r="A1" s="3" t="str">
        <x:v>ELSATIA — Suivi de campagne pilote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Modèle vierge C5-D · aucune donnée prospect réelle</x:v>
      </x:c>
      <x:c r="B2" s="6"/>
      <x:c r="C2" s="6"/>
      <x:c r="D2" s="6"/>
      <x:c r="E2" s="6"/>
      <x:c r="F2" s="6"/>
      <x:c r="G2" s="6"/>
      <x:c r="H2" s="6"/>
    </x:row>
    <x:row r="4">
      <x:c r="A4" s="9" t="str">
        <x:v>MODE D’EMPLOI — une seule version maître, accès restreint, saisie manuelle</x:v>
      </x:c>
      <x:c r="B4" s="9"/>
      <x:c r="C4" s="9"/>
      <x:c r="D4" s="9"/>
      <x:c r="E4" s="9"/>
      <x:c r="F4" s="9"/>
      <x:c r="G4" s="9"/>
      <x:c r="H4" s="9"/>
    </x:row>
    <x:row r="6" ht="42" customHeight="1">
      <x:c r="A6" s="16" t="str">
        <x:v>Étape</x:v>
      </x:c>
      <x:c r="B6" s="17" t="str">
        <x:v>Règle</x:v>
      </x:c>
    </x:row>
    <x:row r="7">
      <x:c r="A7" s="20" t="str">
        <x:v>1. Avant toute collecte</x:v>
      </x:c>
      <x:c r="B7" s="20" t="str">
        <x:v>Responsable : Julien GREGUREC. Destination : ELSATIA / Commercial / Prospection / Campagne pilote, accès restreint.</x:v>
      </x:c>
    </x:row>
    <x:row r="8">
      <x:c r="A8" s="21" t="str">
        <x:v>2. Ajouter une entreprise</x:v>
      </x:c>
      <x:c r="B8" s="21" t="str">
        <x:v>Vérifier l’existence, l’activité, la zone, les sources et la clé de déduplication.</x:v>
      </x:c>
    </x:row>
    <x:row r="9">
      <x:c r="A9" s="21" t="str">
        <x:v>3. Scorer</x:v>
      </x:c>
      <x:c r="B9" s="21" t="str">
        <x:v>Saisir 0, 5, 10 ou ? pour les 10 critères. Le score n’est calculé qu’avec au moins 7 critères documentés.</x:v>
      </x:c>
    </x:row>
    <x:row r="10">
      <x:c r="A10" s="21" t="str">
        <x:v>4. Qualifier</x:v>
      </x:c>
      <x:c r="B10" s="21" t="str">
        <x:v>P1/P2 seulement dans les lots. P3 (45–59) signifie à enrichir avant tout contact.</x:v>
      </x:c>
    </x:row>
    <x:row r="11">
      <x:c r="A11" s="21" t="str">
        <x:v>5. Contrôler l’opposition</x:v>
      </x:c>
      <x:c r="B11" s="21" t="str">
        <x:v>Rechercher l’identifiant minimal dans OPPOSITIONS avant ajout, gel de lot et action ; statut NE PLUS CONTACTER.</x:v>
      </x:c>
    </x:row>
    <x:row r="12">
      <x:c r="A12" s="21" t="str">
        <x:v>6. Contacter</x:v>
      </x:c>
      <x:c r="B12" s="21" t="str">
        <x:v>Envoi manuel, unitaire et personnalisé via Google Workspace depuis contact@elsatia.fr. Aucun automatisme.</x:v>
      </x:c>
    </x:row>
    <x:row r="13">
      <x:c r="A13" s="21" t="str">
        <x:v>7. Journaliser</x:v>
      </x:c>
      <x:c r="B13" s="21" t="str">
        <x:v>Une ligne dans ACTIONS par interaction utile, avec résultat et prochaine action.</x:v>
      </x:c>
    </x:row>
    <x:row r="14">
      <x:c r="A14" s="21" t="str">
        <x:v>8. Prochaine action</x:v>
      </x:c>
      <x:c r="B14" s="21" t="str">
        <x:v>Toute fiche ouverte possède une action, une date et un responsable.</x:v>
      </x:c>
    </x:row>
    <x:row r="15">
      <x:c r="A15" s="21" t="str">
        <x:v>9. Opposition</x:v>
      </x:c>
      <x:c r="B15" s="21" t="str">
        <x:v>Arrêter tous les canaux, supprimer les actions et inscrire le minimum dans OPPOSITIONS.</x:v>
      </x:c>
    </x:row>
    <x:row r="16">
      <x:c r="A16" s="21" t="str">
        <x:v>10. Revue</x:v>
      </x:c>
      <x:c r="B16" s="21" t="str">
        <x:v>Cadence J0, J3, J5, J8, J13 ; décaler au prochain jour ouvré si nécessaire et revoir chaque lot de 10.</x:v>
      </x:c>
    </x:row>
    <x:row r="17">
      <x:c r="A17" s="21" t="str">
        <x:v>11. Conservation</x:v>
      </x:c>
      <x:c r="B17" s="21" t="str">
        <x:v>Prospects : 3 ans maximum depuis la collecte ou le dernier contact pertinent, avec suppression anticipée si inutile. Opposition : 3 ans minimum.</x:v>
      </x:c>
    </x:row>
    <x:row r="18">
      <x:c r="A18" s="21" t="str">
        <x:v>12. Interdit</x:v>
      </x:c>
      <x:c r="B18" s="21" t="str">
        <x:v>Données professionnelles minimales uniquement ; aucune donnée privée, sensible, Production ou secrète.</x:v>
      </x:c>
    </x:row>
    <x:row r="20" ht="42" customHeight="1">
      <x:c r="A20" s="16" t="str">
        <x:v>Référence</x:v>
      </x:c>
      <x:c r="B20" s="17" t="str">
        <x:v>URL / règle</x:v>
      </x:c>
    </x:row>
    <x:row r="21">
      <x:c r="A21" s="20" t="str">
        <x:v>C5-A</x:v>
      </x:c>
      <x:c r="B21" s="20" t="str">
        <x:v>docs/commercial/C5A_CIBLAGE_PROSPECTION_ELSATIA.md</x:v>
      </x:c>
    </x:row>
    <x:row r="22">
      <x:c r="A22" s="21" t="str">
        <x:v>C5-B</x:v>
      </x:c>
      <x:c r="B22" s="21" t="str">
        <x:v>docs/commercial/C5B_SEQUENCES_PROSPECTION_ELSATIA.md</x:v>
      </x:c>
    </x:row>
    <x:row r="23">
      <x:c r="A23" s="21" t="str">
        <x:v>C5-C</x:v>
      </x:c>
      <x:c r="B23" s="21" t="str">
        <x:v>docs/commercial/C5C_PIPELINE_CONVERSION_ELSATIA.md</x:v>
      </x:c>
    </x:row>
    <x:row r="24">
      <x:c r="A24" s="21" t="str">
        <x:v>C5-D</x:v>
      </x:c>
      <x:c r="B24" s="21" t="str">
        <x:v>docs/commercial/C5D_PREPARATION_CAMPAGNE_PILOTE_ELSATIA.md</x:v>
      </x:c>
    </x:row>
    <x:row r="25">
      <x:c r="A25" s="21" t="str">
        <x:v>CNIL — prospection</x:v>
      </x:c>
      <x:c r="B25" s="21" t="str">
        <x:v>https://www.cnil.fr/fr/la-prospection-commerciale-par-courrier-electronique-sms-mms-et-automate-dappel</x:v>
      </x:c>
    </x:row>
    <x:row r="26">
      <x:c r="A26" s="21" t="str">
        <x:v>CNIL — conservation</x:v>
      </x:c>
      <x:c r="B26" s="21" t="str">
        <x:v>https://www.cnil.fr/fr/questions-reponses-sur-les-referentiels-relatifs-la-gestion-des-activites-commerciales-et-des</x:v>
      </x:c>
    </x:row>
    <x:row r="27">
      <x:c r="A27" s="21" t="str">
        <x:v>Couleurs</x:v>
      </x:c>
      <x:c r="B27" s="21" t="str">
        <x:v>Jaune = saisie manuelle · Bleu clair = formule · Rouge = opposition / arrêt</x:v>
      </x:c>
    </x:row>
    <x:row r="28">
      <x:c r="A28" s="21" t="str">
        <x:v>Version</x:v>
      </x:c>
      <x:c r="B28" s="21" t="str">
        <x:v>C5-D · modèle vide finalisé · 2026-08-15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14" hidden="0" customWidth="1"/>
    <x:col min="20" max="20" width="14" hidden="0" customWidth="1"/>
    <x:col min="21" max="21" width="28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8" hidden="0" customWidth="1"/>
    <x:col min="33" max="33" width="18" hidden="0" customWidth="1"/>
    <x:col min="34" max="34" width="18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30" hidden="0" customWidth="1"/>
  </x:cols>
  <x:sheetData>
    <x:row r="1" ht="32" customHeight="1">
      <x:c r="A1" s="3" t="str">
        <x:v>ELSATIA — Prospects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</x:row>
    <x:row r="2" ht="24" customHeight="1">
      <x:c r="A2" s="6" t="str">
        <x:v>Modèle vide · 200 lignes disponibles · aucune donnée réelle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</x:row>
    <x:row r="4">
      <x:c r="A4" s="26" t="str">
        <x:v>Jaune : saisie manuelle · Bleu clair : calcul automatique · Contrôler OPPOSITIONS avant chaque ajout et action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  <x:c r="AM4" s="26"/>
      <x:c r="AN4" s="26"/>
      <x:c r="AO4" s="26"/>
      <x:c r="AP4" s="26"/>
      <x:c r="AQ4" s="26"/>
      <x:c r="AR4" s="26"/>
      <x:c r="AS4" s="26"/>
      <x:c r="AT4" s="26"/>
      <x:c r="AU4" s="26"/>
      <x:c r="AV4" s="26"/>
      <x:c r="AW4" s="26"/>
      <x:c r="AX4" s="26"/>
      <x:c r="AY4" s="26"/>
      <x:c r="AZ4" s="26"/>
      <x:c r="BA4" s="26"/>
      <x:c r="BB4" s="26"/>
      <x:c r="BC4" s="26"/>
      <x:c r="BD4" s="26"/>
      <x:c r="BE4" s="26"/>
      <x:c r="BF4" s="26"/>
    </x:row>
    <x:row r="5" ht="42" customHeight="1">
      <x:c r="A5" s="16" t="str">
        <x:v>ID_PROSPECT</x:v>
      </x:c>
      <x:c r="B5" s="24" t="str">
        <x:v>LOT</x:v>
      </x:c>
      <x:c r="C5" s="24" t="str">
        <x:v>PRIORITE_C5A</x:v>
      </x:c>
      <x:c r="D5" s="24" t="str">
        <x:v>RAISON_SOCIALE</x:v>
      </x:c>
      <x:c r="E5" s="24" t="str">
        <x:v>ENSEIGNE</x:v>
      </x:c>
      <x:c r="F5" s="24" t="str">
        <x:v>SIREN</x:v>
      </x:c>
      <x:c r="G5" s="24" t="str">
        <x:v>CLE_DEDUPLICATION</x:v>
      </x:c>
      <x:c r="H5" s="24" t="str">
        <x:v>VILLE</x:v>
      </x:c>
      <x:c r="I5" s="24" t="str">
        <x:v>DEPARTEMENT</x:v>
      </x:c>
      <x:c r="J5" s="24" t="str">
        <x:v>DISTANCE_STRASBOURG_KM</x:v>
      </x:c>
      <x:c r="K5" s="24" t="str">
        <x:v>ACTIVITE</x:v>
      </x:c>
      <x:c r="L5" s="24" t="str">
        <x:v>EFFECTIF_ESTIME</x:v>
      </x:c>
      <x:c r="M5" s="24" t="str">
        <x:v>SITE_WEB</x:v>
      </x:c>
      <x:c r="N5" s="24" t="str">
        <x:v>TELEPHONE_PROFESSIONNEL</x:v>
      </x:c>
      <x:c r="O5" s="24" t="str">
        <x:v>EMAIL_PROFESSIONNEL_PUBLIC</x:v>
      </x:c>
      <x:c r="P5" s="24" t="str">
        <x:v>INTERLOCUTEUR_PROFESSIONNEL</x:v>
      </x:c>
      <x:c r="Q5" s="24" t="str">
        <x:v>ROLE_INTERLOCUTEUR</x:v>
      </x:c>
      <x:c r="R5" s="24" t="str">
        <x:v>SOURCE_PRINCIPALE_URL</x:v>
      </x:c>
      <x:c r="S5" s="24" t="str">
        <x:v>DATE_COLLECTE</x:v>
      </x:c>
      <x:c r="T5" s="24" t="str">
        <x:v>DATE_VERIFICATION</x:v>
      </x:c>
      <x:c r="U5" s="24" t="str">
        <x:v>SIGNAL_PUBLIC_FACTUEL</x:v>
      </x:c>
      <x:c r="V5" s="24" t="str">
        <x:v>C1_TAILLE</x:v>
      </x:c>
      <x:c r="W5" s="24" t="str">
        <x:v>C2_METIER</x:v>
      </x:c>
      <x:c r="X5" s="24" t="str">
        <x:v>C3_EQUIPES_CHANTIERS</x:v>
      </x:c>
      <x:c r="Y5" s="24" t="str">
        <x:v>C4_PLANNING_TEMPS_FRAIS</x:v>
      </x:c>
      <x:c r="Z5" s="24" t="str">
        <x:v>C5_PARCOURS_COMMERCIAL_CHANTIER</x:v>
      </x:c>
      <x:c r="AA5" s="24" t="str">
        <x:v>C6_DISPERSION_OUTILS</x:v>
      </x:c>
      <x:c r="AB5" s="24" t="str">
        <x:v>C7_PILOTAGE_RENTABILITE</x:v>
      </x:c>
      <x:c r="AC5" s="24" t="str">
        <x:v>C8_ACCES_DECIDEUR</x:v>
      </x:c>
      <x:c r="AD5" s="24" t="str">
        <x:v>C9_GEOGRAPHIE</x:v>
      </x:c>
      <x:c r="AE5" s="24" t="str">
        <x:v>C10_DECLENCHEUR_CALENDRIER</x:v>
      </x:c>
      <x:c r="AF5" s="24" t="str">
        <x:v>NB_CRITERES_DOCUMENTES</x:v>
      </x:c>
      <x:c r="AG5" s="24" t="str">
        <x:v>SCORE_C5A</x:v>
      </x:c>
      <x:c r="AH5" s="24" t="str">
        <x:v>CLASSIFICATION_C5A</x:v>
      </x:c>
      <x:c r="AI5" s="24" t="str">
        <x:v>MOTIF_EXCLUSION</x:v>
      </x:c>
      <x:c r="AJ5" s="24" t="str">
        <x:v>CANAL_INITIAL</x:v>
      </x:c>
      <x:c r="AK5" s="24" t="str">
        <x:v>DATE_PREMIER_CONTACT</x:v>
      </x:c>
      <x:c r="AL5" s="24" t="str">
        <x:v>STATUT_PIPELINE</x:v>
      </x:c>
      <x:c r="AM5" s="24" t="str">
        <x:v>BESOINS_EXPRIMES</x:v>
      </x:c>
      <x:c r="AN5" s="24" t="str">
        <x:v>OBJECTIONS</x:v>
      </x:c>
      <x:c r="AO5" s="24" t="str">
        <x:v>OFFRE_POTENTIELLE</x:v>
      </x:c>
      <x:c r="AP5" s="24" t="str">
        <x:v>DERNIERE_ACTION</x:v>
      </x:c>
      <x:c r="AQ5" s="24" t="str">
        <x:v>DATE_DERNIERE_ACTION</x:v>
      </x:c>
      <x:c r="AR5" s="24" t="str">
        <x:v>PROCHAINE_ACTION</x:v>
      </x:c>
      <x:c r="AS5" s="24" t="str">
        <x:v>DATE_PROCHAINE_ACTION</x:v>
      </x:c>
      <x:c r="AT5" s="24" t="str">
        <x:v>RESPONSABLE</x:v>
      </x:c>
      <x:c r="AU5" s="24" t="str">
        <x:v>DATE_REPONSE</x:v>
      </x:c>
      <x:c r="AV5" s="24" t="str">
        <x:v>DATE_ECHANGE</x:v>
      </x:c>
      <x:c r="AW5" s="24" t="str">
        <x:v>DATE_DEMO_PLANIFIEE</x:v>
      </x:c>
      <x:c r="AX5" s="24" t="str">
        <x:v>DATE_DEMO_REALISEE</x:v>
      </x:c>
      <x:c r="AY5" s="24" t="str">
        <x:v>DATE_DEBUT_ESSAI</x:v>
      </x:c>
      <x:c r="AZ5" s="24" t="str">
        <x:v>DATE_FIN_ESSAI</x:v>
      </x:c>
      <x:c r="BA5" s="24" t="str">
        <x:v>DATE_PROPOSITION</x:v>
      </x:c>
      <x:c r="BB5" s="24" t="str">
        <x:v>DECISION</x:v>
      </x:c>
      <x:c r="BC5" s="24" t="str">
        <x:v>RAISON_RESULTAT</x:v>
      </x:c>
      <x:c r="BD5" s="24" t="str">
        <x:v>DATE_REPRISE</x:v>
      </x:c>
      <x:c r="BE5" s="24" t="str">
        <x:v>OPPOSITION_OUI_NON</x:v>
      </x:c>
      <x:c r="BF5" s="17" t="str">
        <x:v>NOTES_FACTUELLES</x:v>
      </x:c>
    </x:row>
    <x:row r="6">
      <x:c r="A6" s="30"/>
      <x:c r="B6" s="30"/>
      <x:c r="C6" s="32" t="str">
        <x:f>AH6</x:f>
        <x:v>À rechercher</x:v>
      </x:c>
      <x:c r="D6" s="30"/>
      <x:c r="E6" s="30"/>
      <x:c r="F6" s="30"/>
      <x:c r="G6" s="30"/>
      <x:c r="H6" s="30"/>
      <x:c r="I6" s="30"/>
      <x:c r="J6" s="36"/>
      <x:c r="K6" s="30"/>
      <x:c r="L6" s="30"/>
      <x:c r="M6" s="30"/>
      <x:c r="N6" s="30"/>
      <x:c r="O6" s="30"/>
      <x:c r="P6" s="30"/>
      <x:c r="Q6" s="30"/>
      <x:c r="R6" s="30"/>
      <x:c r="S6" s="34"/>
      <x:c r="T6" s="34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8" t="n">
        <x:f>COUNT(V6:AE6)</x:f>
        <x:v>0</x:v>
      </x:c>
      <x:c r="AG6" s="38" t="str">
        <x:f>IF(AF6&gt;=7,SUM(V6:AE6),"")</x:f>
      </x:c>
      <x:c r="AH6" s="32" t="str">
        <x:f>IF(AF6&lt;7,"À rechercher",IF(AG6&gt;=75,"P1",IF(AG6&gt;=60,"P2",IF(AG6&gt;=45,"P3","Faible priorité"))))</x:f>
        <x:v>À rechercher</x:v>
      </x:c>
      <x:c r="AI6" s="30"/>
      <x:c r="AJ6" s="30"/>
      <x:c r="AK6" s="34"/>
      <x:c r="AL6" s="30"/>
      <x:c r="AM6" s="30"/>
      <x:c r="AN6" s="30"/>
      <x:c r="AO6" s="30"/>
      <x:c r="AP6" s="30"/>
      <x:c r="AQ6" s="34"/>
      <x:c r="AR6" s="30"/>
      <x:c r="AS6" s="34"/>
      <x:c r="AT6" s="30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0"/>
      <x:c r="BF6" s="30"/>
    </x:row>
    <x:row r="7">
      <x:c r="A7" s="31"/>
      <x:c r="B7" s="31"/>
      <x:c r="C7" s="33" t="str">
        <x:f>AH7</x:f>
        <x:v>À rechercher</x:v>
      </x:c>
      <x:c r="D7" s="31"/>
      <x:c r="E7" s="31"/>
      <x:c r="F7" s="31"/>
      <x:c r="G7" s="31"/>
      <x:c r="H7" s="31"/>
      <x:c r="I7" s="31"/>
      <x:c r="J7" s="37"/>
      <x:c r="K7" s="31"/>
      <x:c r="L7" s="31"/>
      <x:c r="M7" s="31"/>
      <x:c r="N7" s="31"/>
      <x:c r="O7" s="31"/>
      <x:c r="P7" s="31"/>
      <x:c r="Q7" s="31"/>
      <x:c r="R7" s="31"/>
      <x:c r="S7" s="35"/>
      <x:c r="T7" s="35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9" t="n">
        <x:f>COUNT(V7:AE7)</x:f>
        <x:v>0</x:v>
      </x:c>
      <x:c r="AG7" s="39" t="str">
        <x:f>IF(AF7&gt;=7,SUM(V7:AE7),"")</x:f>
      </x:c>
      <x:c r="AH7" s="33" t="str">
        <x:f>IF(AF7&lt;7,"À rechercher",IF(AG7&gt;=75,"P1",IF(AG7&gt;=60,"P2",IF(AG7&gt;=45,"P3","Faible priorité"))))</x:f>
        <x:v>À rechercher</x:v>
      </x:c>
      <x:c r="AI7" s="31"/>
      <x:c r="AJ7" s="31"/>
      <x:c r="AK7" s="35"/>
      <x:c r="AL7" s="31"/>
      <x:c r="AM7" s="31"/>
      <x:c r="AN7" s="31"/>
      <x:c r="AO7" s="31"/>
      <x:c r="AP7" s="31"/>
      <x:c r="AQ7" s="35"/>
      <x:c r="AR7" s="31"/>
      <x:c r="AS7" s="35"/>
      <x:c r="AT7" s="31"/>
      <x:c r="AU7" s="35"/>
      <x:c r="AV7" s="35"/>
      <x:c r="AW7" s="35"/>
      <x:c r="AX7" s="35"/>
      <x:c r="AY7" s="35"/>
      <x:c r="AZ7" s="35"/>
      <x:c r="BA7" s="35"/>
      <x:c r="BB7" s="35"/>
      <x:c r="BC7" s="35"/>
      <x:c r="BD7" s="35"/>
      <x:c r="BE7" s="31"/>
      <x:c r="BF7" s="31"/>
    </x:row>
    <x:row r="8">
      <x:c r="A8" s="31"/>
      <x:c r="B8" s="31"/>
      <x:c r="C8" s="33" t="str">
        <x:f>AH8</x:f>
        <x:v>À rechercher</x:v>
      </x:c>
      <x:c r="D8" s="31"/>
      <x:c r="E8" s="31"/>
      <x:c r="F8" s="31"/>
      <x:c r="G8" s="31"/>
      <x:c r="H8" s="31"/>
      <x:c r="I8" s="31"/>
      <x:c r="J8" s="37"/>
      <x:c r="K8" s="31"/>
      <x:c r="L8" s="31"/>
      <x:c r="M8" s="31"/>
      <x:c r="N8" s="31"/>
      <x:c r="O8" s="31"/>
      <x:c r="P8" s="31"/>
      <x:c r="Q8" s="31"/>
      <x:c r="R8" s="31"/>
      <x:c r="S8" s="35"/>
      <x:c r="T8" s="35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9" t="n">
        <x:f>COUNT(V8:AE8)</x:f>
        <x:v>0</x:v>
      </x:c>
      <x:c r="AG8" s="39" t="str">
        <x:f>IF(AF8&gt;=7,SUM(V8:AE8),"")</x:f>
      </x:c>
      <x:c r="AH8" s="33" t="str">
        <x:f>IF(AF8&lt;7,"À rechercher",IF(AG8&gt;=75,"P1",IF(AG8&gt;=60,"P2",IF(AG8&gt;=45,"P3","Faible priorité"))))</x:f>
        <x:v>À rechercher</x:v>
      </x:c>
      <x:c r="AI8" s="31"/>
      <x:c r="AJ8" s="31"/>
      <x:c r="AK8" s="35"/>
      <x:c r="AL8" s="31"/>
      <x:c r="AM8" s="31"/>
      <x:c r="AN8" s="31"/>
      <x:c r="AO8" s="31"/>
      <x:c r="AP8" s="31"/>
      <x:c r="AQ8" s="35"/>
      <x:c r="AR8" s="31"/>
      <x:c r="AS8" s="35"/>
      <x:c r="AT8" s="31"/>
      <x:c r="AU8" s="35"/>
      <x:c r="AV8" s="35"/>
      <x:c r="AW8" s="35"/>
      <x:c r="AX8" s="35"/>
      <x:c r="AY8" s="35"/>
      <x:c r="AZ8" s="35"/>
      <x:c r="BA8" s="35"/>
      <x:c r="BB8" s="35"/>
      <x:c r="BC8" s="35"/>
      <x:c r="BD8" s="35"/>
      <x:c r="BE8" s="31"/>
      <x:c r="BF8" s="31"/>
    </x:row>
    <x:row r="9">
      <x:c r="A9" s="31"/>
      <x:c r="B9" s="31"/>
      <x:c r="C9" s="33" t="str">
        <x:f>AH9</x:f>
        <x:v>À rechercher</x:v>
      </x:c>
      <x:c r="D9" s="31"/>
      <x:c r="E9" s="31"/>
      <x:c r="F9" s="31"/>
      <x:c r="G9" s="31"/>
      <x:c r="H9" s="31"/>
      <x:c r="I9" s="31"/>
      <x:c r="J9" s="37"/>
      <x:c r="K9" s="31"/>
      <x:c r="L9" s="31"/>
      <x:c r="M9" s="31"/>
      <x:c r="N9" s="31"/>
      <x:c r="O9" s="31"/>
      <x:c r="P9" s="31"/>
      <x:c r="Q9" s="31"/>
      <x:c r="R9" s="31"/>
      <x:c r="S9" s="35"/>
      <x:c r="T9" s="35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9" t="n">
        <x:f>COUNT(V9:AE9)</x:f>
        <x:v>0</x:v>
      </x:c>
      <x:c r="AG9" s="39" t="str">
        <x:f>IF(AF9&gt;=7,SUM(V9:AE9),"")</x:f>
      </x:c>
      <x:c r="AH9" s="33" t="str">
        <x:f>IF(AF9&lt;7,"À rechercher",IF(AG9&gt;=75,"P1",IF(AG9&gt;=60,"P2",IF(AG9&gt;=45,"P3","Faible priorité"))))</x:f>
        <x:v>À rechercher</x:v>
      </x:c>
      <x:c r="AI9" s="31"/>
      <x:c r="AJ9" s="31"/>
      <x:c r="AK9" s="35"/>
      <x:c r="AL9" s="31"/>
      <x:c r="AM9" s="31"/>
      <x:c r="AN9" s="31"/>
      <x:c r="AO9" s="31"/>
      <x:c r="AP9" s="31"/>
      <x:c r="AQ9" s="35"/>
      <x:c r="AR9" s="31"/>
      <x:c r="AS9" s="35"/>
      <x:c r="AT9" s="31"/>
      <x:c r="AU9" s="35"/>
      <x:c r="AV9" s="35"/>
      <x:c r="AW9" s="35"/>
      <x:c r="AX9" s="35"/>
      <x:c r="AY9" s="35"/>
      <x:c r="AZ9" s="35"/>
      <x:c r="BA9" s="35"/>
      <x:c r="BB9" s="35"/>
      <x:c r="BC9" s="35"/>
      <x:c r="BD9" s="35"/>
      <x:c r="BE9" s="31"/>
      <x:c r="BF9" s="31"/>
    </x:row>
    <x:row r="10">
      <x:c r="A10" s="31"/>
      <x:c r="B10" s="31"/>
      <x:c r="C10" s="33" t="str">
        <x:f>AH10</x:f>
        <x:v>À rechercher</x:v>
      </x:c>
      <x:c r="D10" s="31"/>
      <x:c r="E10" s="31"/>
      <x:c r="F10" s="31"/>
      <x:c r="G10" s="31"/>
      <x:c r="H10" s="31"/>
      <x:c r="I10" s="31"/>
      <x:c r="J10" s="37"/>
      <x:c r="K10" s="31"/>
      <x:c r="L10" s="31"/>
      <x:c r="M10" s="31"/>
      <x:c r="N10" s="31"/>
      <x:c r="O10" s="31"/>
      <x:c r="P10" s="31"/>
      <x:c r="Q10" s="31"/>
      <x:c r="R10" s="31"/>
      <x:c r="S10" s="35"/>
      <x:c r="T10" s="35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9" t="n">
        <x:f>COUNT(V10:AE10)</x:f>
        <x:v>0</x:v>
      </x:c>
      <x:c r="AG10" s="39" t="str">
        <x:f>IF(AF10&gt;=7,SUM(V10:AE10),"")</x:f>
      </x:c>
      <x:c r="AH10" s="33" t="str">
        <x:f>IF(AF10&lt;7,"À rechercher",IF(AG10&gt;=75,"P1",IF(AG10&gt;=60,"P2",IF(AG10&gt;=45,"P3","Faible priorité"))))</x:f>
        <x:v>À rechercher</x:v>
      </x:c>
      <x:c r="AI10" s="31"/>
      <x:c r="AJ10" s="31"/>
      <x:c r="AK10" s="35"/>
      <x:c r="AL10" s="31"/>
      <x:c r="AM10" s="31"/>
      <x:c r="AN10" s="31"/>
      <x:c r="AO10" s="31"/>
      <x:c r="AP10" s="31"/>
      <x:c r="AQ10" s="35"/>
      <x:c r="AR10" s="31"/>
      <x:c r="AS10" s="35"/>
      <x:c r="AT10" s="31"/>
      <x:c r="AU10" s="35"/>
      <x:c r="AV10" s="35"/>
      <x:c r="AW10" s="35"/>
      <x:c r="AX10" s="35"/>
      <x:c r="AY10" s="35"/>
      <x:c r="AZ10" s="35"/>
      <x:c r="BA10" s="35"/>
      <x:c r="BB10" s="35"/>
      <x:c r="BC10" s="35"/>
      <x:c r="BD10" s="35"/>
      <x:c r="BE10" s="31"/>
      <x:c r="BF10" s="31"/>
    </x:row>
    <x:row r="11">
      <x:c r="A11" s="31"/>
      <x:c r="B11" s="31"/>
      <x:c r="C11" s="33" t="str">
        <x:f>AH11</x:f>
        <x:v>À rechercher</x:v>
      </x:c>
      <x:c r="D11" s="31"/>
      <x:c r="E11" s="31"/>
      <x:c r="F11" s="31"/>
      <x:c r="G11" s="31"/>
      <x:c r="H11" s="31"/>
      <x:c r="I11" s="31"/>
      <x:c r="J11" s="37"/>
      <x:c r="K11" s="31"/>
      <x:c r="L11" s="31"/>
      <x:c r="M11" s="31"/>
      <x:c r="N11" s="31"/>
      <x:c r="O11" s="31"/>
      <x:c r="P11" s="31"/>
      <x:c r="Q11" s="31"/>
      <x:c r="R11" s="31"/>
      <x:c r="S11" s="35"/>
      <x:c r="T11" s="35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9" t="n">
        <x:f>COUNT(V11:AE11)</x:f>
        <x:v>0</x:v>
      </x:c>
      <x:c r="AG11" s="39" t="str">
        <x:f>IF(AF11&gt;=7,SUM(V11:AE11),"")</x:f>
      </x:c>
      <x:c r="AH11" s="33" t="str">
        <x:f>IF(AF11&lt;7,"À rechercher",IF(AG11&gt;=75,"P1",IF(AG11&gt;=60,"P2",IF(AG11&gt;=45,"P3","Faible priorité"))))</x:f>
        <x:v>À rechercher</x:v>
      </x:c>
      <x:c r="AI11" s="31"/>
      <x:c r="AJ11" s="31"/>
      <x:c r="AK11" s="35"/>
      <x:c r="AL11" s="31"/>
      <x:c r="AM11" s="31"/>
      <x:c r="AN11" s="31"/>
      <x:c r="AO11" s="31"/>
      <x:c r="AP11" s="31"/>
      <x:c r="AQ11" s="35"/>
      <x:c r="AR11" s="31"/>
      <x:c r="AS11" s="35"/>
      <x:c r="AT11" s="31"/>
      <x:c r="AU11" s="35"/>
      <x:c r="AV11" s="35"/>
      <x:c r="AW11" s="35"/>
      <x:c r="AX11" s="35"/>
      <x:c r="AY11" s="35"/>
      <x:c r="AZ11" s="35"/>
      <x:c r="BA11" s="35"/>
      <x:c r="BB11" s="35"/>
      <x:c r="BC11" s="35"/>
      <x:c r="BD11" s="35"/>
      <x:c r="BE11" s="31"/>
      <x:c r="BF11" s="31"/>
    </x:row>
    <x:row r="12">
      <x:c r="A12" s="31"/>
      <x:c r="B12" s="31"/>
      <x:c r="C12" s="33" t="str">
        <x:f>AH12</x:f>
        <x:v>À rechercher</x:v>
      </x:c>
      <x:c r="D12" s="31"/>
      <x:c r="E12" s="31"/>
      <x:c r="F12" s="31"/>
      <x:c r="G12" s="31"/>
      <x:c r="H12" s="31"/>
      <x:c r="I12" s="31"/>
      <x:c r="J12" s="37"/>
      <x:c r="K12" s="31"/>
      <x:c r="L12" s="31"/>
      <x:c r="M12" s="31"/>
      <x:c r="N12" s="31"/>
      <x:c r="O12" s="31"/>
      <x:c r="P12" s="31"/>
      <x:c r="Q12" s="31"/>
      <x:c r="R12" s="31"/>
      <x:c r="S12" s="35"/>
      <x:c r="T12" s="35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9" t="n">
        <x:f>COUNT(V12:AE12)</x:f>
        <x:v>0</x:v>
      </x:c>
      <x:c r="AG12" s="39" t="str">
        <x:f>IF(AF12&gt;=7,SUM(V12:AE12),"")</x:f>
      </x:c>
      <x:c r="AH12" s="33" t="str">
        <x:f>IF(AF12&lt;7,"À rechercher",IF(AG12&gt;=75,"P1",IF(AG12&gt;=60,"P2",IF(AG12&gt;=45,"P3","Faible priorité"))))</x:f>
        <x:v>À rechercher</x:v>
      </x:c>
      <x:c r="AI12" s="31"/>
      <x:c r="AJ12" s="31"/>
      <x:c r="AK12" s="35"/>
      <x:c r="AL12" s="31"/>
      <x:c r="AM12" s="31"/>
      <x:c r="AN12" s="31"/>
      <x:c r="AO12" s="31"/>
      <x:c r="AP12" s="31"/>
      <x:c r="AQ12" s="35"/>
      <x:c r="AR12" s="31"/>
      <x:c r="AS12" s="35"/>
      <x:c r="AT12" s="31"/>
      <x:c r="AU12" s="35"/>
      <x:c r="AV12" s="35"/>
      <x:c r="AW12" s="35"/>
      <x:c r="AX12" s="35"/>
      <x:c r="AY12" s="35"/>
      <x:c r="AZ12" s="35"/>
      <x:c r="BA12" s="35"/>
      <x:c r="BB12" s="35"/>
      <x:c r="BC12" s="35"/>
      <x:c r="BD12" s="35"/>
      <x:c r="BE12" s="31"/>
      <x:c r="BF12" s="31"/>
    </x:row>
    <x:row r="13">
      <x:c r="A13" s="31"/>
      <x:c r="B13" s="31"/>
      <x:c r="C13" s="33" t="str">
        <x:f>AH13</x:f>
        <x:v>À rechercher</x:v>
      </x:c>
      <x:c r="D13" s="31"/>
      <x:c r="E13" s="31"/>
      <x:c r="F13" s="31"/>
      <x:c r="G13" s="31"/>
      <x:c r="H13" s="31"/>
      <x:c r="I13" s="31"/>
      <x:c r="J13" s="37"/>
      <x:c r="K13" s="31"/>
      <x:c r="L13" s="31"/>
      <x:c r="M13" s="31"/>
      <x:c r="N13" s="31"/>
      <x:c r="O13" s="31"/>
      <x:c r="P13" s="31"/>
      <x:c r="Q13" s="31"/>
      <x:c r="R13" s="31"/>
      <x:c r="S13" s="35"/>
      <x:c r="T13" s="35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9" t="n">
        <x:f>COUNT(V13:AE13)</x:f>
        <x:v>0</x:v>
      </x:c>
      <x:c r="AG13" s="39" t="str">
        <x:f>IF(AF13&gt;=7,SUM(V13:AE13),"")</x:f>
      </x:c>
      <x:c r="AH13" s="33" t="str">
        <x:f>IF(AF13&lt;7,"À rechercher",IF(AG13&gt;=75,"P1",IF(AG13&gt;=60,"P2",IF(AG13&gt;=45,"P3","Faible priorité"))))</x:f>
        <x:v>À rechercher</x:v>
      </x:c>
      <x:c r="AI13" s="31"/>
      <x:c r="AJ13" s="31"/>
      <x:c r="AK13" s="35"/>
      <x:c r="AL13" s="31"/>
      <x:c r="AM13" s="31"/>
      <x:c r="AN13" s="31"/>
      <x:c r="AO13" s="31"/>
      <x:c r="AP13" s="31"/>
      <x:c r="AQ13" s="35"/>
      <x:c r="AR13" s="31"/>
      <x:c r="AS13" s="35"/>
      <x:c r="AT13" s="31"/>
      <x:c r="AU13" s="35"/>
      <x:c r="AV13" s="35"/>
      <x:c r="AW13" s="35"/>
      <x:c r="AX13" s="35"/>
      <x:c r="AY13" s="35"/>
      <x:c r="AZ13" s="35"/>
      <x:c r="BA13" s="35"/>
      <x:c r="BB13" s="35"/>
      <x:c r="BC13" s="35"/>
      <x:c r="BD13" s="35"/>
      <x:c r="BE13" s="31"/>
      <x:c r="BF13" s="31"/>
    </x:row>
    <x:row r="14">
      <x:c r="A14" s="31"/>
      <x:c r="B14" s="31"/>
      <x:c r="C14" s="33" t="str">
        <x:f>AH14</x:f>
        <x:v>À rechercher</x:v>
      </x:c>
      <x:c r="D14" s="31"/>
      <x:c r="E14" s="31"/>
      <x:c r="F14" s="31"/>
      <x:c r="G14" s="31"/>
      <x:c r="H14" s="31"/>
      <x:c r="I14" s="31"/>
      <x:c r="J14" s="37"/>
      <x:c r="K14" s="31"/>
      <x:c r="L14" s="31"/>
      <x:c r="M14" s="31"/>
      <x:c r="N14" s="31"/>
      <x:c r="O14" s="31"/>
      <x:c r="P14" s="31"/>
      <x:c r="Q14" s="31"/>
      <x:c r="R14" s="31"/>
      <x:c r="S14" s="35"/>
      <x:c r="T14" s="35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9" t="n">
        <x:f>COUNT(V14:AE14)</x:f>
        <x:v>0</x:v>
      </x:c>
      <x:c r="AG14" s="39" t="str">
        <x:f>IF(AF14&gt;=7,SUM(V14:AE14),"")</x:f>
      </x:c>
      <x:c r="AH14" s="33" t="str">
        <x:f>IF(AF14&lt;7,"À rechercher",IF(AG14&gt;=75,"P1",IF(AG14&gt;=60,"P2",IF(AG14&gt;=45,"P3","Faible priorité"))))</x:f>
        <x:v>À rechercher</x:v>
      </x:c>
      <x:c r="AI14" s="31"/>
      <x:c r="AJ14" s="31"/>
      <x:c r="AK14" s="35"/>
      <x:c r="AL14" s="31"/>
      <x:c r="AM14" s="31"/>
      <x:c r="AN14" s="31"/>
      <x:c r="AO14" s="31"/>
      <x:c r="AP14" s="31"/>
      <x:c r="AQ14" s="35"/>
      <x:c r="AR14" s="31"/>
      <x:c r="AS14" s="35"/>
      <x:c r="AT14" s="31"/>
      <x:c r="AU14" s="35"/>
      <x:c r="AV14" s="35"/>
      <x:c r="AW14" s="35"/>
      <x:c r="AX14" s="35"/>
      <x:c r="AY14" s="35"/>
      <x:c r="AZ14" s="35"/>
      <x:c r="BA14" s="35"/>
      <x:c r="BB14" s="35"/>
      <x:c r="BC14" s="35"/>
      <x:c r="BD14" s="35"/>
      <x:c r="BE14" s="31"/>
      <x:c r="BF14" s="31"/>
    </x:row>
    <x:row r="15">
      <x:c r="A15" s="31"/>
      <x:c r="B15" s="31"/>
      <x:c r="C15" s="33" t="str">
        <x:f>AH15</x:f>
        <x:v>À rechercher</x:v>
      </x:c>
      <x:c r="D15" s="31"/>
      <x:c r="E15" s="31"/>
      <x:c r="F15" s="31"/>
      <x:c r="G15" s="31"/>
      <x:c r="H15" s="31"/>
      <x:c r="I15" s="31"/>
      <x:c r="J15" s="37"/>
      <x:c r="K15" s="31"/>
      <x:c r="L15" s="31"/>
      <x:c r="M15" s="31"/>
      <x:c r="N15" s="31"/>
      <x:c r="O15" s="31"/>
      <x:c r="P15" s="31"/>
      <x:c r="Q15" s="31"/>
      <x:c r="R15" s="31"/>
      <x:c r="S15" s="35"/>
      <x:c r="T15" s="35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9" t="n">
        <x:f>COUNT(V15:AE15)</x:f>
        <x:v>0</x:v>
      </x:c>
      <x:c r="AG15" s="39" t="str">
        <x:f>IF(AF15&gt;=7,SUM(V15:AE15),"")</x:f>
      </x:c>
      <x:c r="AH15" s="33" t="str">
        <x:f>IF(AF15&lt;7,"À rechercher",IF(AG15&gt;=75,"P1",IF(AG15&gt;=60,"P2",IF(AG15&gt;=45,"P3","Faible priorité"))))</x:f>
        <x:v>À rechercher</x:v>
      </x:c>
      <x:c r="AI15" s="31"/>
      <x:c r="AJ15" s="31"/>
      <x:c r="AK15" s="35"/>
      <x:c r="AL15" s="31"/>
      <x:c r="AM15" s="31"/>
      <x:c r="AN15" s="31"/>
      <x:c r="AO15" s="31"/>
      <x:c r="AP15" s="31"/>
      <x:c r="AQ15" s="35"/>
      <x:c r="AR15" s="31"/>
      <x:c r="AS15" s="35"/>
      <x:c r="AT15" s="31"/>
      <x:c r="AU15" s="35"/>
      <x:c r="AV15" s="35"/>
      <x:c r="AW15" s="35"/>
      <x:c r="AX15" s="35"/>
      <x:c r="AY15" s="35"/>
      <x:c r="AZ15" s="35"/>
      <x:c r="BA15" s="35"/>
      <x:c r="BB15" s="35"/>
      <x:c r="BC15" s="35"/>
      <x:c r="BD15" s="35"/>
      <x:c r="BE15" s="31"/>
      <x:c r="BF15" s="31"/>
    </x:row>
    <x:row r="16">
      <x:c r="A16" s="31"/>
      <x:c r="B16" s="31"/>
      <x:c r="C16" s="33" t="str">
        <x:f>AH16</x:f>
        <x:v>À rechercher</x:v>
      </x:c>
      <x:c r="D16" s="31"/>
      <x:c r="E16" s="31"/>
      <x:c r="F16" s="31"/>
      <x:c r="G16" s="31"/>
      <x:c r="H16" s="31"/>
      <x:c r="I16" s="31"/>
      <x:c r="J16" s="37"/>
      <x:c r="K16" s="31"/>
      <x:c r="L16" s="31"/>
      <x:c r="M16" s="31"/>
      <x:c r="N16" s="31"/>
      <x:c r="O16" s="31"/>
      <x:c r="P16" s="31"/>
      <x:c r="Q16" s="31"/>
      <x:c r="R16" s="31"/>
      <x:c r="S16" s="35"/>
      <x:c r="T16" s="35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9" t="n">
        <x:f>COUNT(V16:AE16)</x:f>
        <x:v>0</x:v>
      </x:c>
      <x:c r="AG16" s="39" t="str">
        <x:f>IF(AF16&gt;=7,SUM(V16:AE16),"")</x:f>
      </x:c>
      <x:c r="AH16" s="33" t="str">
        <x:f>IF(AF16&lt;7,"À rechercher",IF(AG16&gt;=75,"P1",IF(AG16&gt;=60,"P2",IF(AG16&gt;=45,"P3","Faible priorité"))))</x:f>
        <x:v>À rechercher</x:v>
      </x:c>
      <x:c r="AI16" s="31"/>
      <x:c r="AJ16" s="31"/>
      <x:c r="AK16" s="35"/>
      <x:c r="AL16" s="31"/>
      <x:c r="AM16" s="31"/>
      <x:c r="AN16" s="31"/>
      <x:c r="AO16" s="31"/>
      <x:c r="AP16" s="31"/>
      <x:c r="AQ16" s="35"/>
      <x:c r="AR16" s="31"/>
      <x:c r="AS16" s="35"/>
      <x:c r="AT16" s="31"/>
      <x:c r="AU16" s="35"/>
      <x:c r="AV16" s="35"/>
      <x:c r="AW16" s="35"/>
      <x:c r="AX16" s="35"/>
      <x:c r="AY16" s="35"/>
      <x:c r="AZ16" s="35"/>
      <x:c r="BA16" s="35"/>
      <x:c r="BB16" s="35"/>
      <x:c r="BC16" s="35"/>
      <x:c r="BD16" s="35"/>
      <x:c r="BE16" s="31"/>
      <x:c r="BF16" s="31"/>
    </x:row>
    <x:row r="17">
      <x:c r="A17" s="31"/>
      <x:c r="B17" s="31"/>
      <x:c r="C17" s="33" t="str">
        <x:f>AH17</x:f>
        <x:v>À rechercher</x:v>
      </x:c>
      <x:c r="D17" s="31"/>
      <x:c r="E17" s="31"/>
      <x:c r="F17" s="31"/>
      <x:c r="G17" s="31"/>
      <x:c r="H17" s="31"/>
      <x:c r="I17" s="31"/>
      <x:c r="J17" s="37"/>
      <x:c r="K17" s="31"/>
      <x:c r="L17" s="31"/>
      <x:c r="M17" s="31"/>
      <x:c r="N17" s="31"/>
      <x:c r="O17" s="31"/>
      <x:c r="P17" s="31"/>
      <x:c r="Q17" s="31"/>
      <x:c r="R17" s="31"/>
      <x:c r="S17" s="35"/>
      <x:c r="T17" s="35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9" t="n">
        <x:f>COUNT(V17:AE17)</x:f>
        <x:v>0</x:v>
      </x:c>
      <x:c r="AG17" s="39" t="str">
        <x:f>IF(AF17&gt;=7,SUM(V17:AE17),"")</x:f>
      </x:c>
      <x:c r="AH17" s="33" t="str">
        <x:f>IF(AF17&lt;7,"À rechercher",IF(AG17&gt;=75,"P1",IF(AG17&gt;=60,"P2",IF(AG17&gt;=45,"P3","Faible priorité"))))</x:f>
        <x:v>À rechercher</x:v>
      </x:c>
      <x:c r="AI17" s="31"/>
      <x:c r="AJ17" s="31"/>
      <x:c r="AK17" s="35"/>
      <x:c r="AL17" s="31"/>
      <x:c r="AM17" s="31"/>
      <x:c r="AN17" s="31"/>
      <x:c r="AO17" s="31"/>
      <x:c r="AP17" s="31"/>
      <x:c r="AQ17" s="35"/>
      <x:c r="AR17" s="31"/>
      <x:c r="AS17" s="35"/>
      <x:c r="AT17" s="31"/>
      <x:c r="AU17" s="35"/>
      <x:c r="AV17" s="35"/>
      <x:c r="AW17" s="35"/>
      <x:c r="AX17" s="35"/>
      <x:c r="AY17" s="35"/>
      <x:c r="AZ17" s="35"/>
      <x:c r="BA17" s="35"/>
      <x:c r="BB17" s="35"/>
      <x:c r="BC17" s="35"/>
      <x:c r="BD17" s="35"/>
      <x:c r="BE17" s="31"/>
      <x:c r="BF17" s="31"/>
    </x:row>
    <x:row r="18">
      <x:c r="A18" s="31"/>
      <x:c r="B18" s="31"/>
      <x:c r="C18" s="33" t="str">
        <x:f>AH18</x:f>
        <x:v>À rechercher</x:v>
      </x:c>
      <x:c r="D18" s="31"/>
      <x:c r="E18" s="31"/>
      <x:c r="F18" s="31"/>
      <x:c r="G18" s="31"/>
      <x:c r="H18" s="31"/>
      <x:c r="I18" s="31"/>
      <x:c r="J18" s="37"/>
      <x:c r="K18" s="31"/>
      <x:c r="L18" s="31"/>
      <x:c r="M18" s="31"/>
      <x:c r="N18" s="31"/>
      <x:c r="O18" s="31"/>
      <x:c r="P18" s="31"/>
      <x:c r="Q18" s="31"/>
      <x:c r="R18" s="31"/>
      <x:c r="S18" s="35"/>
      <x:c r="T18" s="35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9" t="n">
        <x:f>COUNT(V18:AE18)</x:f>
        <x:v>0</x:v>
      </x:c>
      <x:c r="AG18" s="39" t="str">
        <x:f>IF(AF18&gt;=7,SUM(V18:AE18),"")</x:f>
      </x:c>
      <x:c r="AH18" s="33" t="str">
        <x:f>IF(AF18&lt;7,"À rechercher",IF(AG18&gt;=75,"P1",IF(AG18&gt;=60,"P2",IF(AG18&gt;=45,"P3","Faible priorité"))))</x:f>
        <x:v>À rechercher</x:v>
      </x:c>
      <x:c r="AI18" s="31"/>
      <x:c r="AJ18" s="31"/>
      <x:c r="AK18" s="35"/>
      <x:c r="AL18" s="31"/>
      <x:c r="AM18" s="31"/>
      <x:c r="AN18" s="31"/>
      <x:c r="AO18" s="31"/>
      <x:c r="AP18" s="31"/>
      <x:c r="AQ18" s="35"/>
      <x:c r="AR18" s="31"/>
      <x:c r="AS18" s="35"/>
      <x:c r="AT18" s="31"/>
      <x:c r="AU18" s="35"/>
      <x:c r="AV18" s="35"/>
      <x:c r="AW18" s="35"/>
      <x:c r="AX18" s="35"/>
      <x:c r="AY18" s="35"/>
      <x:c r="AZ18" s="35"/>
      <x:c r="BA18" s="35"/>
      <x:c r="BB18" s="35"/>
      <x:c r="BC18" s="35"/>
      <x:c r="BD18" s="35"/>
      <x:c r="BE18" s="31"/>
      <x:c r="BF18" s="31"/>
    </x:row>
    <x:row r="19">
      <x:c r="A19" s="31"/>
      <x:c r="B19" s="31"/>
      <x:c r="C19" s="33" t="str">
        <x:f>AH19</x:f>
        <x:v>À rechercher</x:v>
      </x:c>
      <x:c r="D19" s="31"/>
      <x:c r="E19" s="31"/>
      <x:c r="F19" s="31"/>
      <x:c r="G19" s="31"/>
      <x:c r="H19" s="31"/>
      <x:c r="I19" s="31"/>
      <x:c r="J19" s="37"/>
      <x:c r="K19" s="31"/>
      <x:c r="L19" s="31"/>
      <x:c r="M19" s="31"/>
      <x:c r="N19" s="31"/>
      <x:c r="O19" s="31"/>
      <x:c r="P19" s="31"/>
      <x:c r="Q19" s="31"/>
      <x:c r="R19" s="31"/>
      <x:c r="S19" s="35"/>
      <x:c r="T19" s="35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9" t="n">
        <x:f>COUNT(V19:AE19)</x:f>
        <x:v>0</x:v>
      </x:c>
      <x:c r="AG19" s="39" t="str">
        <x:f>IF(AF19&gt;=7,SUM(V19:AE19),"")</x:f>
      </x:c>
      <x:c r="AH19" s="33" t="str">
        <x:f>IF(AF19&lt;7,"À rechercher",IF(AG19&gt;=75,"P1",IF(AG19&gt;=60,"P2",IF(AG19&gt;=45,"P3","Faible priorité"))))</x:f>
        <x:v>À rechercher</x:v>
      </x:c>
      <x:c r="AI19" s="31"/>
      <x:c r="AJ19" s="31"/>
      <x:c r="AK19" s="35"/>
      <x:c r="AL19" s="31"/>
      <x:c r="AM19" s="31"/>
      <x:c r="AN19" s="31"/>
      <x:c r="AO19" s="31"/>
      <x:c r="AP19" s="31"/>
      <x:c r="AQ19" s="35"/>
      <x:c r="AR19" s="31"/>
      <x:c r="AS19" s="35"/>
      <x:c r="AT19" s="31"/>
      <x:c r="AU19" s="35"/>
      <x:c r="AV19" s="35"/>
      <x:c r="AW19" s="35"/>
      <x:c r="AX19" s="35"/>
      <x:c r="AY19" s="35"/>
      <x:c r="AZ19" s="35"/>
      <x:c r="BA19" s="35"/>
      <x:c r="BB19" s="35"/>
      <x:c r="BC19" s="35"/>
      <x:c r="BD19" s="35"/>
      <x:c r="BE19" s="31"/>
      <x:c r="BF19" s="31"/>
    </x:row>
    <x:row r="20">
      <x:c r="A20" s="31"/>
      <x:c r="B20" s="31"/>
      <x:c r="C20" s="33" t="str">
        <x:f>AH20</x:f>
        <x:v>À rechercher</x:v>
      </x:c>
      <x:c r="D20" s="31"/>
      <x:c r="E20" s="31"/>
      <x:c r="F20" s="31"/>
      <x:c r="G20" s="31"/>
      <x:c r="H20" s="31"/>
      <x:c r="I20" s="31"/>
      <x:c r="J20" s="37"/>
      <x:c r="K20" s="31"/>
      <x:c r="L20" s="31"/>
      <x:c r="M20" s="31"/>
      <x:c r="N20" s="31"/>
      <x:c r="O20" s="31"/>
      <x:c r="P20" s="31"/>
      <x:c r="Q20" s="31"/>
      <x:c r="R20" s="31"/>
      <x:c r="S20" s="35"/>
      <x:c r="T20" s="35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9" t="n">
        <x:f>COUNT(V20:AE20)</x:f>
        <x:v>0</x:v>
      </x:c>
      <x:c r="AG20" s="39" t="str">
        <x:f>IF(AF20&gt;=7,SUM(V20:AE20),"")</x:f>
      </x:c>
      <x:c r="AH20" s="33" t="str">
        <x:f>IF(AF20&lt;7,"À rechercher",IF(AG20&gt;=75,"P1",IF(AG20&gt;=60,"P2",IF(AG20&gt;=45,"P3","Faible priorité"))))</x:f>
        <x:v>À rechercher</x:v>
      </x:c>
      <x:c r="AI20" s="31"/>
      <x:c r="AJ20" s="31"/>
      <x:c r="AK20" s="35"/>
      <x:c r="AL20" s="31"/>
      <x:c r="AM20" s="31"/>
      <x:c r="AN20" s="31"/>
      <x:c r="AO20" s="31"/>
      <x:c r="AP20" s="31"/>
      <x:c r="AQ20" s="35"/>
      <x:c r="AR20" s="31"/>
      <x:c r="AS20" s="35"/>
      <x:c r="AT20" s="31"/>
      <x:c r="AU20" s="35"/>
      <x:c r="AV20" s="35"/>
      <x:c r="AW20" s="35"/>
      <x:c r="AX20" s="35"/>
      <x:c r="AY20" s="35"/>
      <x:c r="AZ20" s="35"/>
      <x:c r="BA20" s="35"/>
      <x:c r="BB20" s="35"/>
      <x:c r="BC20" s="35"/>
      <x:c r="BD20" s="35"/>
      <x:c r="BE20" s="31"/>
      <x:c r="BF20" s="31"/>
    </x:row>
    <x:row r="21">
      <x:c r="A21" s="31"/>
      <x:c r="B21" s="31"/>
      <x:c r="C21" s="33" t="str">
        <x:f>AH21</x:f>
        <x:v>À rechercher</x:v>
      </x:c>
      <x:c r="D21" s="31"/>
      <x:c r="E21" s="31"/>
      <x:c r="F21" s="31"/>
      <x:c r="G21" s="31"/>
      <x:c r="H21" s="31"/>
      <x:c r="I21" s="31"/>
      <x:c r="J21" s="37"/>
      <x:c r="K21" s="31"/>
      <x:c r="L21" s="31"/>
      <x:c r="M21" s="31"/>
      <x:c r="N21" s="31"/>
      <x:c r="O21" s="31"/>
      <x:c r="P21" s="31"/>
      <x:c r="Q21" s="31"/>
      <x:c r="R21" s="31"/>
      <x:c r="S21" s="35"/>
      <x:c r="T21" s="35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9" t="n">
        <x:f>COUNT(V21:AE21)</x:f>
        <x:v>0</x:v>
      </x:c>
      <x:c r="AG21" s="39" t="str">
        <x:f>IF(AF21&gt;=7,SUM(V21:AE21),"")</x:f>
      </x:c>
      <x:c r="AH21" s="33" t="str">
        <x:f>IF(AF21&lt;7,"À rechercher",IF(AG21&gt;=75,"P1",IF(AG21&gt;=60,"P2",IF(AG21&gt;=45,"P3","Faible priorité"))))</x:f>
        <x:v>À rechercher</x:v>
      </x:c>
      <x:c r="AI21" s="31"/>
      <x:c r="AJ21" s="31"/>
      <x:c r="AK21" s="35"/>
      <x:c r="AL21" s="31"/>
      <x:c r="AM21" s="31"/>
      <x:c r="AN21" s="31"/>
      <x:c r="AO21" s="31"/>
      <x:c r="AP21" s="31"/>
      <x:c r="AQ21" s="35"/>
      <x:c r="AR21" s="31"/>
      <x:c r="AS21" s="35"/>
      <x:c r="AT21" s="31"/>
      <x:c r="AU21" s="35"/>
      <x:c r="AV21" s="35"/>
      <x:c r="AW21" s="35"/>
      <x:c r="AX21" s="35"/>
      <x:c r="AY21" s="35"/>
      <x:c r="AZ21" s="35"/>
      <x:c r="BA21" s="35"/>
      <x:c r="BB21" s="35"/>
      <x:c r="BC21" s="35"/>
      <x:c r="BD21" s="35"/>
      <x:c r="BE21" s="31"/>
      <x:c r="BF21" s="31"/>
    </x:row>
    <x:row r="22">
      <x:c r="A22" s="31"/>
      <x:c r="B22" s="31"/>
      <x:c r="C22" s="33" t="str">
        <x:f>AH22</x:f>
        <x:v>À rechercher</x:v>
      </x:c>
      <x:c r="D22" s="31"/>
      <x:c r="E22" s="31"/>
      <x:c r="F22" s="31"/>
      <x:c r="G22" s="31"/>
      <x:c r="H22" s="31"/>
      <x:c r="I22" s="31"/>
      <x:c r="J22" s="37"/>
      <x:c r="K22" s="31"/>
      <x:c r="L22" s="31"/>
      <x:c r="M22" s="31"/>
      <x:c r="N22" s="31"/>
      <x:c r="O22" s="31"/>
      <x:c r="P22" s="31"/>
      <x:c r="Q22" s="31"/>
      <x:c r="R22" s="31"/>
      <x:c r="S22" s="35"/>
      <x:c r="T22" s="35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9" t="n">
        <x:f>COUNT(V22:AE22)</x:f>
        <x:v>0</x:v>
      </x:c>
      <x:c r="AG22" s="39" t="str">
        <x:f>IF(AF22&gt;=7,SUM(V22:AE22),"")</x:f>
      </x:c>
      <x:c r="AH22" s="33" t="str">
        <x:f>IF(AF22&lt;7,"À rechercher",IF(AG22&gt;=75,"P1",IF(AG22&gt;=60,"P2",IF(AG22&gt;=45,"P3","Faible priorité"))))</x:f>
        <x:v>À rechercher</x:v>
      </x:c>
      <x:c r="AI22" s="31"/>
      <x:c r="AJ22" s="31"/>
      <x:c r="AK22" s="35"/>
      <x:c r="AL22" s="31"/>
      <x:c r="AM22" s="31"/>
      <x:c r="AN22" s="31"/>
      <x:c r="AO22" s="31"/>
      <x:c r="AP22" s="31"/>
      <x:c r="AQ22" s="35"/>
      <x:c r="AR22" s="31"/>
      <x:c r="AS22" s="35"/>
      <x:c r="AT22" s="31"/>
      <x:c r="AU22" s="35"/>
      <x:c r="AV22" s="35"/>
      <x:c r="AW22" s="35"/>
      <x:c r="AX22" s="35"/>
      <x:c r="AY22" s="35"/>
      <x:c r="AZ22" s="35"/>
      <x:c r="BA22" s="35"/>
      <x:c r="BB22" s="35"/>
      <x:c r="BC22" s="35"/>
      <x:c r="BD22" s="35"/>
      <x:c r="BE22" s="31"/>
      <x:c r="BF22" s="31"/>
    </x:row>
    <x:row r="23">
      <x:c r="A23" s="31"/>
      <x:c r="B23" s="31"/>
      <x:c r="C23" s="33" t="str">
        <x:f>AH23</x:f>
        <x:v>À rechercher</x:v>
      </x:c>
      <x:c r="D23" s="31"/>
      <x:c r="E23" s="31"/>
      <x:c r="F23" s="31"/>
      <x:c r="G23" s="31"/>
      <x:c r="H23" s="31"/>
      <x:c r="I23" s="31"/>
      <x:c r="J23" s="37"/>
      <x:c r="K23" s="31"/>
      <x:c r="L23" s="31"/>
      <x:c r="M23" s="31"/>
      <x:c r="N23" s="31"/>
      <x:c r="O23" s="31"/>
      <x:c r="P23" s="31"/>
      <x:c r="Q23" s="31"/>
      <x:c r="R23" s="31"/>
      <x:c r="S23" s="35"/>
      <x:c r="T23" s="35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9" t="n">
        <x:f>COUNT(V23:AE23)</x:f>
        <x:v>0</x:v>
      </x:c>
      <x:c r="AG23" s="39" t="str">
        <x:f>IF(AF23&gt;=7,SUM(V23:AE23),"")</x:f>
      </x:c>
      <x:c r="AH23" s="33" t="str">
        <x:f>IF(AF23&lt;7,"À rechercher",IF(AG23&gt;=75,"P1",IF(AG23&gt;=60,"P2",IF(AG23&gt;=45,"P3","Faible priorité"))))</x:f>
        <x:v>À rechercher</x:v>
      </x:c>
      <x:c r="AI23" s="31"/>
      <x:c r="AJ23" s="31"/>
      <x:c r="AK23" s="35"/>
      <x:c r="AL23" s="31"/>
      <x:c r="AM23" s="31"/>
      <x:c r="AN23" s="31"/>
      <x:c r="AO23" s="31"/>
      <x:c r="AP23" s="31"/>
      <x:c r="AQ23" s="35"/>
      <x:c r="AR23" s="31"/>
      <x:c r="AS23" s="35"/>
      <x:c r="AT23" s="31"/>
      <x:c r="AU23" s="35"/>
      <x:c r="AV23" s="35"/>
      <x:c r="AW23" s="35"/>
      <x:c r="AX23" s="35"/>
      <x:c r="AY23" s="35"/>
      <x:c r="AZ23" s="35"/>
      <x:c r="BA23" s="35"/>
      <x:c r="BB23" s="35"/>
      <x:c r="BC23" s="35"/>
      <x:c r="BD23" s="35"/>
      <x:c r="BE23" s="31"/>
      <x:c r="BF23" s="31"/>
    </x:row>
    <x:row r="24">
      <x:c r="A24" s="31"/>
      <x:c r="B24" s="31"/>
      <x:c r="C24" s="33" t="str">
        <x:f>AH24</x:f>
        <x:v>À rechercher</x:v>
      </x:c>
      <x:c r="D24" s="31"/>
      <x:c r="E24" s="31"/>
      <x:c r="F24" s="31"/>
      <x:c r="G24" s="31"/>
      <x:c r="H24" s="31"/>
      <x:c r="I24" s="31"/>
      <x:c r="J24" s="37"/>
      <x:c r="K24" s="31"/>
      <x:c r="L24" s="31"/>
      <x:c r="M24" s="31"/>
      <x:c r="N24" s="31"/>
      <x:c r="O24" s="31"/>
      <x:c r="P24" s="31"/>
      <x:c r="Q24" s="31"/>
      <x:c r="R24" s="31"/>
      <x:c r="S24" s="35"/>
      <x:c r="T24" s="35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9" t="n">
        <x:f>COUNT(V24:AE24)</x:f>
        <x:v>0</x:v>
      </x:c>
      <x:c r="AG24" s="39" t="str">
        <x:f>IF(AF24&gt;=7,SUM(V24:AE24),"")</x:f>
      </x:c>
      <x:c r="AH24" s="33" t="str">
        <x:f>IF(AF24&lt;7,"À rechercher",IF(AG24&gt;=75,"P1",IF(AG24&gt;=60,"P2",IF(AG24&gt;=45,"P3","Faible priorité"))))</x:f>
        <x:v>À rechercher</x:v>
      </x:c>
      <x:c r="AI24" s="31"/>
      <x:c r="AJ24" s="31"/>
      <x:c r="AK24" s="35"/>
      <x:c r="AL24" s="31"/>
      <x:c r="AM24" s="31"/>
      <x:c r="AN24" s="31"/>
      <x:c r="AO24" s="31"/>
      <x:c r="AP24" s="31"/>
      <x:c r="AQ24" s="35"/>
      <x:c r="AR24" s="31"/>
      <x:c r="AS24" s="35"/>
      <x:c r="AT24" s="31"/>
      <x:c r="AU24" s="35"/>
      <x:c r="AV24" s="35"/>
      <x:c r="AW24" s="35"/>
      <x:c r="AX24" s="35"/>
      <x:c r="AY24" s="35"/>
      <x:c r="AZ24" s="35"/>
      <x:c r="BA24" s="35"/>
      <x:c r="BB24" s="35"/>
      <x:c r="BC24" s="35"/>
      <x:c r="BD24" s="35"/>
      <x:c r="BE24" s="31"/>
      <x:c r="BF24" s="31"/>
    </x:row>
    <x:row r="25">
      <x:c r="A25" s="31"/>
      <x:c r="B25" s="31"/>
      <x:c r="C25" s="33" t="str">
        <x:f>AH25</x:f>
        <x:v>À rechercher</x:v>
      </x:c>
      <x:c r="D25" s="31"/>
      <x:c r="E25" s="31"/>
      <x:c r="F25" s="31"/>
      <x:c r="G25" s="31"/>
      <x:c r="H25" s="31"/>
      <x:c r="I25" s="31"/>
      <x:c r="J25" s="37"/>
      <x:c r="K25" s="31"/>
      <x:c r="L25" s="31"/>
      <x:c r="M25" s="31"/>
      <x:c r="N25" s="31"/>
      <x:c r="O25" s="31"/>
      <x:c r="P25" s="31"/>
      <x:c r="Q25" s="31"/>
      <x:c r="R25" s="31"/>
      <x:c r="S25" s="35"/>
      <x:c r="T25" s="35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9" t="n">
        <x:f>COUNT(V25:AE25)</x:f>
        <x:v>0</x:v>
      </x:c>
      <x:c r="AG25" s="39" t="str">
        <x:f>IF(AF25&gt;=7,SUM(V25:AE25),"")</x:f>
      </x:c>
      <x:c r="AH25" s="33" t="str">
        <x:f>IF(AF25&lt;7,"À rechercher",IF(AG25&gt;=75,"P1",IF(AG25&gt;=60,"P2",IF(AG25&gt;=45,"P3","Faible priorité"))))</x:f>
        <x:v>À rechercher</x:v>
      </x:c>
      <x:c r="AI25" s="31"/>
      <x:c r="AJ25" s="31"/>
      <x:c r="AK25" s="35"/>
      <x:c r="AL25" s="31"/>
      <x:c r="AM25" s="31"/>
      <x:c r="AN25" s="31"/>
      <x:c r="AO25" s="31"/>
      <x:c r="AP25" s="31"/>
      <x:c r="AQ25" s="35"/>
      <x:c r="AR25" s="31"/>
      <x:c r="AS25" s="35"/>
      <x:c r="AT25" s="31"/>
      <x:c r="AU25" s="35"/>
      <x:c r="AV25" s="35"/>
      <x:c r="AW25" s="35"/>
      <x:c r="AX25" s="35"/>
      <x:c r="AY25" s="35"/>
      <x:c r="AZ25" s="35"/>
      <x:c r="BA25" s="35"/>
      <x:c r="BB25" s="35"/>
      <x:c r="BC25" s="35"/>
      <x:c r="BD25" s="35"/>
      <x:c r="BE25" s="31"/>
      <x:c r="BF25" s="31"/>
    </x:row>
    <x:row r="26">
      <x:c r="A26" s="31"/>
      <x:c r="B26" s="31"/>
      <x:c r="C26" s="33" t="str">
        <x:f>AH26</x:f>
        <x:v>À rechercher</x:v>
      </x:c>
      <x:c r="D26" s="31"/>
      <x:c r="E26" s="31"/>
      <x:c r="F26" s="31"/>
      <x:c r="G26" s="31"/>
      <x:c r="H26" s="31"/>
      <x:c r="I26" s="31"/>
      <x:c r="J26" s="37"/>
      <x:c r="K26" s="31"/>
      <x:c r="L26" s="31"/>
      <x:c r="M26" s="31"/>
      <x:c r="N26" s="31"/>
      <x:c r="O26" s="31"/>
      <x:c r="P26" s="31"/>
      <x:c r="Q26" s="31"/>
      <x:c r="R26" s="31"/>
      <x:c r="S26" s="35"/>
      <x:c r="T26" s="35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9" t="n">
        <x:f>COUNT(V26:AE26)</x:f>
        <x:v>0</x:v>
      </x:c>
      <x:c r="AG26" s="39" t="str">
        <x:f>IF(AF26&gt;=7,SUM(V26:AE26),"")</x:f>
      </x:c>
      <x:c r="AH26" s="33" t="str">
        <x:f>IF(AF26&lt;7,"À rechercher",IF(AG26&gt;=75,"P1",IF(AG26&gt;=60,"P2",IF(AG26&gt;=45,"P3","Faible priorité"))))</x:f>
        <x:v>À rechercher</x:v>
      </x:c>
      <x:c r="AI26" s="31"/>
      <x:c r="AJ26" s="31"/>
      <x:c r="AK26" s="35"/>
      <x:c r="AL26" s="31"/>
      <x:c r="AM26" s="31"/>
      <x:c r="AN26" s="31"/>
      <x:c r="AO26" s="31"/>
      <x:c r="AP26" s="31"/>
      <x:c r="AQ26" s="35"/>
      <x:c r="AR26" s="31"/>
      <x:c r="AS26" s="35"/>
      <x:c r="AT26" s="31"/>
      <x:c r="AU26" s="35"/>
      <x:c r="AV26" s="35"/>
      <x:c r="AW26" s="35"/>
      <x:c r="AX26" s="35"/>
      <x:c r="AY26" s="35"/>
      <x:c r="AZ26" s="35"/>
      <x:c r="BA26" s="35"/>
      <x:c r="BB26" s="35"/>
      <x:c r="BC26" s="35"/>
      <x:c r="BD26" s="35"/>
      <x:c r="BE26" s="31"/>
      <x:c r="BF26" s="31"/>
    </x:row>
    <x:row r="27">
      <x:c r="A27" s="31"/>
      <x:c r="B27" s="31"/>
      <x:c r="C27" s="33" t="str">
        <x:f>AH27</x:f>
        <x:v>À rechercher</x:v>
      </x:c>
      <x:c r="D27" s="31"/>
      <x:c r="E27" s="31"/>
      <x:c r="F27" s="31"/>
      <x:c r="G27" s="31"/>
      <x:c r="H27" s="31"/>
      <x:c r="I27" s="31"/>
      <x:c r="J27" s="37"/>
      <x:c r="K27" s="31"/>
      <x:c r="L27" s="31"/>
      <x:c r="M27" s="31"/>
      <x:c r="N27" s="31"/>
      <x:c r="O27" s="31"/>
      <x:c r="P27" s="31"/>
      <x:c r="Q27" s="31"/>
      <x:c r="R27" s="31"/>
      <x:c r="S27" s="35"/>
      <x:c r="T27" s="35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9" t="n">
        <x:f>COUNT(V27:AE27)</x:f>
        <x:v>0</x:v>
      </x:c>
      <x:c r="AG27" s="39" t="str">
        <x:f>IF(AF27&gt;=7,SUM(V27:AE27),"")</x:f>
      </x:c>
      <x:c r="AH27" s="33" t="str">
        <x:f>IF(AF27&lt;7,"À rechercher",IF(AG27&gt;=75,"P1",IF(AG27&gt;=60,"P2",IF(AG27&gt;=45,"P3","Faible priorité"))))</x:f>
        <x:v>À rechercher</x:v>
      </x:c>
      <x:c r="AI27" s="31"/>
      <x:c r="AJ27" s="31"/>
      <x:c r="AK27" s="35"/>
      <x:c r="AL27" s="31"/>
      <x:c r="AM27" s="31"/>
      <x:c r="AN27" s="31"/>
      <x:c r="AO27" s="31"/>
      <x:c r="AP27" s="31"/>
      <x:c r="AQ27" s="35"/>
      <x:c r="AR27" s="31"/>
      <x:c r="AS27" s="35"/>
      <x:c r="AT27" s="31"/>
      <x:c r="AU27" s="35"/>
      <x:c r="AV27" s="35"/>
      <x:c r="AW27" s="35"/>
      <x:c r="AX27" s="35"/>
      <x:c r="AY27" s="35"/>
      <x:c r="AZ27" s="35"/>
      <x:c r="BA27" s="35"/>
      <x:c r="BB27" s="35"/>
      <x:c r="BC27" s="35"/>
      <x:c r="BD27" s="35"/>
      <x:c r="BE27" s="31"/>
      <x:c r="BF27" s="31"/>
    </x:row>
    <x:row r="28">
      <x:c r="A28" s="31"/>
      <x:c r="B28" s="31"/>
      <x:c r="C28" s="33" t="str">
        <x:f>AH28</x:f>
        <x:v>À rechercher</x:v>
      </x:c>
      <x:c r="D28" s="31"/>
      <x:c r="E28" s="31"/>
      <x:c r="F28" s="31"/>
      <x:c r="G28" s="31"/>
      <x:c r="H28" s="31"/>
      <x:c r="I28" s="31"/>
      <x:c r="J28" s="37"/>
      <x:c r="K28" s="31"/>
      <x:c r="L28" s="31"/>
      <x:c r="M28" s="31"/>
      <x:c r="N28" s="31"/>
      <x:c r="O28" s="31"/>
      <x:c r="P28" s="31"/>
      <x:c r="Q28" s="31"/>
      <x:c r="R28" s="31"/>
      <x:c r="S28" s="35"/>
      <x:c r="T28" s="35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9" t="n">
        <x:f>COUNT(V28:AE28)</x:f>
        <x:v>0</x:v>
      </x:c>
      <x:c r="AG28" s="39" t="str">
        <x:f>IF(AF28&gt;=7,SUM(V28:AE28),"")</x:f>
      </x:c>
      <x:c r="AH28" s="33" t="str">
        <x:f>IF(AF28&lt;7,"À rechercher",IF(AG28&gt;=75,"P1",IF(AG28&gt;=60,"P2",IF(AG28&gt;=45,"P3","Faible priorité"))))</x:f>
        <x:v>À rechercher</x:v>
      </x:c>
      <x:c r="AI28" s="31"/>
      <x:c r="AJ28" s="31"/>
      <x:c r="AK28" s="35"/>
      <x:c r="AL28" s="31"/>
      <x:c r="AM28" s="31"/>
      <x:c r="AN28" s="31"/>
      <x:c r="AO28" s="31"/>
      <x:c r="AP28" s="31"/>
      <x:c r="AQ28" s="35"/>
      <x:c r="AR28" s="31"/>
      <x:c r="AS28" s="35"/>
      <x:c r="AT28" s="31"/>
      <x:c r="AU28" s="35"/>
      <x:c r="AV28" s="35"/>
      <x:c r="AW28" s="35"/>
      <x:c r="AX28" s="35"/>
      <x:c r="AY28" s="35"/>
      <x:c r="AZ28" s="35"/>
      <x:c r="BA28" s="35"/>
      <x:c r="BB28" s="35"/>
      <x:c r="BC28" s="35"/>
      <x:c r="BD28" s="35"/>
      <x:c r="BE28" s="31"/>
      <x:c r="BF28" s="31"/>
    </x:row>
    <x:row r="29">
      <x:c r="A29" s="31"/>
      <x:c r="B29" s="31"/>
      <x:c r="C29" s="33" t="str">
        <x:f>AH29</x:f>
        <x:v>À rechercher</x:v>
      </x:c>
      <x:c r="D29" s="31"/>
      <x:c r="E29" s="31"/>
      <x:c r="F29" s="31"/>
      <x:c r="G29" s="31"/>
      <x:c r="H29" s="31"/>
      <x:c r="I29" s="31"/>
      <x:c r="J29" s="37"/>
      <x:c r="K29" s="31"/>
      <x:c r="L29" s="31"/>
      <x:c r="M29" s="31"/>
      <x:c r="N29" s="31"/>
      <x:c r="O29" s="31"/>
      <x:c r="P29" s="31"/>
      <x:c r="Q29" s="31"/>
      <x:c r="R29" s="31"/>
      <x:c r="S29" s="35"/>
      <x:c r="T29" s="35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9" t="n">
        <x:f>COUNT(V29:AE29)</x:f>
        <x:v>0</x:v>
      </x:c>
      <x:c r="AG29" s="39" t="str">
        <x:f>IF(AF29&gt;=7,SUM(V29:AE29),"")</x:f>
      </x:c>
      <x:c r="AH29" s="33" t="str">
        <x:f>IF(AF29&lt;7,"À rechercher",IF(AG29&gt;=75,"P1",IF(AG29&gt;=60,"P2",IF(AG29&gt;=45,"P3","Faible priorité"))))</x:f>
        <x:v>À rechercher</x:v>
      </x:c>
      <x:c r="AI29" s="31"/>
      <x:c r="AJ29" s="31"/>
      <x:c r="AK29" s="35"/>
      <x:c r="AL29" s="31"/>
      <x:c r="AM29" s="31"/>
      <x:c r="AN29" s="31"/>
      <x:c r="AO29" s="31"/>
      <x:c r="AP29" s="31"/>
      <x:c r="AQ29" s="35"/>
      <x:c r="AR29" s="31"/>
      <x:c r="AS29" s="35"/>
      <x:c r="AT29" s="31"/>
      <x:c r="AU29" s="35"/>
      <x:c r="AV29" s="35"/>
      <x:c r="AW29" s="35"/>
      <x:c r="AX29" s="35"/>
      <x:c r="AY29" s="35"/>
      <x:c r="AZ29" s="35"/>
      <x:c r="BA29" s="35"/>
      <x:c r="BB29" s="35"/>
      <x:c r="BC29" s="35"/>
      <x:c r="BD29" s="35"/>
      <x:c r="BE29" s="31"/>
      <x:c r="BF29" s="31"/>
    </x:row>
    <x:row r="30">
      <x:c r="A30" s="31"/>
      <x:c r="B30" s="31"/>
      <x:c r="C30" s="33" t="str">
        <x:f>AH30</x:f>
        <x:v>À rechercher</x:v>
      </x:c>
      <x:c r="D30" s="31"/>
      <x:c r="E30" s="31"/>
      <x:c r="F30" s="31"/>
      <x:c r="G30" s="31"/>
      <x:c r="H30" s="31"/>
      <x:c r="I30" s="31"/>
      <x:c r="J30" s="37"/>
      <x:c r="K30" s="31"/>
      <x:c r="L30" s="31"/>
      <x:c r="M30" s="31"/>
      <x:c r="N30" s="31"/>
      <x:c r="O30" s="31"/>
      <x:c r="P30" s="31"/>
      <x:c r="Q30" s="31"/>
      <x:c r="R30" s="31"/>
      <x:c r="S30" s="35"/>
      <x:c r="T30" s="35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9" t="n">
        <x:f>COUNT(V30:AE30)</x:f>
        <x:v>0</x:v>
      </x:c>
      <x:c r="AG30" s="39" t="str">
        <x:f>IF(AF30&gt;=7,SUM(V30:AE30),"")</x:f>
      </x:c>
      <x:c r="AH30" s="33" t="str">
        <x:f>IF(AF30&lt;7,"À rechercher",IF(AG30&gt;=75,"P1",IF(AG30&gt;=60,"P2",IF(AG30&gt;=45,"P3","Faible priorité"))))</x:f>
        <x:v>À rechercher</x:v>
      </x:c>
      <x:c r="AI30" s="31"/>
      <x:c r="AJ30" s="31"/>
      <x:c r="AK30" s="35"/>
      <x:c r="AL30" s="31"/>
      <x:c r="AM30" s="31"/>
      <x:c r="AN30" s="31"/>
      <x:c r="AO30" s="31"/>
      <x:c r="AP30" s="31"/>
      <x:c r="AQ30" s="35"/>
      <x:c r="AR30" s="31"/>
      <x:c r="AS30" s="35"/>
      <x:c r="AT30" s="31"/>
      <x:c r="AU30" s="35"/>
      <x:c r="AV30" s="35"/>
      <x:c r="AW30" s="35"/>
      <x:c r="AX30" s="35"/>
      <x:c r="AY30" s="35"/>
      <x:c r="AZ30" s="35"/>
      <x:c r="BA30" s="35"/>
      <x:c r="BB30" s="35"/>
      <x:c r="BC30" s="35"/>
      <x:c r="BD30" s="35"/>
      <x:c r="BE30" s="31"/>
      <x:c r="BF30" s="31"/>
    </x:row>
    <x:row r="31">
      <x:c r="A31" s="31"/>
      <x:c r="B31" s="31"/>
      <x:c r="C31" s="33" t="str">
        <x:f>AH31</x:f>
        <x:v>À rechercher</x:v>
      </x:c>
      <x:c r="D31" s="31"/>
      <x:c r="E31" s="31"/>
      <x:c r="F31" s="31"/>
      <x:c r="G31" s="31"/>
      <x:c r="H31" s="31"/>
      <x:c r="I31" s="31"/>
      <x:c r="J31" s="37"/>
      <x:c r="K31" s="31"/>
      <x:c r="L31" s="31"/>
      <x:c r="M31" s="31"/>
      <x:c r="N31" s="31"/>
      <x:c r="O31" s="31"/>
      <x:c r="P31" s="31"/>
      <x:c r="Q31" s="31"/>
      <x:c r="R31" s="31"/>
      <x:c r="S31" s="35"/>
      <x:c r="T31" s="35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9" t="n">
        <x:f>COUNT(V31:AE31)</x:f>
        <x:v>0</x:v>
      </x:c>
      <x:c r="AG31" s="39" t="str">
        <x:f>IF(AF31&gt;=7,SUM(V31:AE31),"")</x:f>
      </x:c>
      <x:c r="AH31" s="33" t="str">
        <x:f>IF(AF31&lt;7,"À rechercher",IF(AG31&gt;=75,"P1",IF(AG31&gt;=60,"P2",IF(AG31&gt;=45,"P3","Faible priorité"))))</x:f>
        <x:v>À rechercher</x:v>
      </x:c>
      <x:c r="AI31" s="31"/>
      <x:c r="AJ31" s="31"/>
      <x:c r="AK31" s="35"/>
      <x:c r="AL31" s="31"/>
      <x:c r="AM31" s="31"/>
      <x:c r="AN31" s="31"/>
      <x:c r="AO31" s="31"/>
      <x:c r="AP31" s="31"/>
      <x:c r="AQ31" s="35"/>
      <x:c r="AR31" s="31"/>
      <x:c r="AS31" s="35"/>
      <x:c r="AT31" s="31"/>
      <x:c r="AU31" s="35"/>
      <x:c r="AV31" s="35"/>
      <x:c r="AW31" s="35"/>
      <x:c r="AX31" s="35"/>
      <x:c r="AY31" s="35"/>
      <x:c r="AZ31" s="35"/>
      <x:c r="BA31" s="35"/>
      <x:c r="BB31" s="35"/>
      <x:c r="BC31" s="35"/>
      <x:c r="BD31" s="35"/>
      <x:c r="BE31" s="31"/>
      <x:c r="BF31" s="31"/>
    </x:row>
    <x:row r="32">
      <x:c r="A32" s="31"/>
      <x:c r="B32" s="31"/>
      <x:c r="C32" s="33" t="str">
        <x:f>AH32</x:f>
        <x:v>À rechercher</x:v>
      </x:c>
      <x:c r="D32" s="31"/>
      <x:c r="E32" s="31"/>
      <x:c r="F32" s="31"/>
      <x:c r="G32" s="31"/>
      <x:c r="H32" s="31"/>
      <x:c r="I32" s="31"/>
      <x:c r="J32" s="37"/>
      <x:c r="K32" s="31"/>
      <x:c r="L32" s="31"/>
      <x:c r="M32" s="31"/>
      <x:c r="N32" s="31"/>
      <x:c r="O32" s="31"/>
      <x:c r="P32" s="31"/>
      <x:c r="Q32" s="31"/>
      <x:c r="R32" s="31"/>
      <x:c r="S32" s="35"/>
      <x:c r="T32" s="35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9" t="n">
        <x:f>COUNT(V32:AE32)</x:f>
        <x:v>0</x:v>
      </x:c>
      <x:c r="AG32" s="39" t="str">
        <x:f>IF(AF32&gt;=7,SUM(V32:AE32),"")</x:f>
      </x:c>
      <x:c r="AH32" s="33" t="str">
        <x:f>IF(AF32&lt;7,"À rechercher",IF(AG32&gt;=75,"P1",IF(AG32&gt;=60,"P2",IF(AG32&gt;=45,"P3","Faible priorité"))))</x:f>
        <x:v>À rechercher</x:v>
      </x:c>
      <x:c r="AI32" s="31"/>
      <x:c r="AJ32" s="31"/>
      <x:c r="AK32" s="35"/>
      <x:c r="AL32" s="31"/>
      <x:c r="AM32" s="31"/>
      <x:c r="AN32" s="31"/>
      <x:c r="AO32" s="31"/>
      <x:c r="AP32" s="31"/>
      <x:c r="AQ32" s="35"/>
      <x:c r="AR32" s="31"/>
      <x:c r="AS32" s="35"/>
      <x:c r="AT32" s="31"/>
      <x:c r="AU32" s="35"/>
      <x:c r="AV32" s="35"/>
      <x:c r="AW32" s="35"/>
      <x:c r="AX32" s="35"/>
      <x:c r="AY32" s="35"/>
      <x:c r="AZ32" s="35"/>
      <x:c r="BA32" s="35"/>
      <x:c r="BB32" s="35"/>
      <x:c r="BC32" s="35"/>
      <x:c r="BD32" s="35"/>
      <x:c r="BE32" s="31"/>
      <x:c r="BF32" s="31"/>
    </x:row>
    <x:row r="33">
      <x:c r="A33" s="31"/>
      <x:c r="B33" s="31"/>
      <x:c r="C33" s="33" t="str">
        <x:f>AH33</x:f>
        <x:v>À rechercher</x:v>
      </x:c>
      <x:c r="D33" s="31"/>
      <x:c r="E33" s="31"/>
      <x:c r="F33" s="31"/>
      <x:c r="G33" s="31"/>
      <x:c r="H33" s="31"/>
      <x:c r="I33" s="31"/>
      <x:c r="J33" s="37"/>
      <x:c r="K33" s="31"/>
      <x:c r="L33" s="31"/>
      <x:c r="M33" s="31"/>
      <x:c r="N33" s="31"/>
      <x:c r="O33" s="31"/>
      <x:c r="P33" s="31"/>
      <x:c r="Q33" s="31"/>
      <x:c r="R33" s="31"/>
      <x:c r="S33" s="35"/>
      <x:c r="T33" s="35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9" t="n">
        <x:f>COUNT(V33:AE33)</x:f>
        <x:v>0</x:v>
      </x:c>
      <x:c r="AG33" s="39" t="str">
        <x:f>IF(AF33&gt;=7,SUM(V33:AE33),"")</x:f>
      </x:c>
      <x:c r="AH33" s="33" t="str">
        <x:f>IF(AF33&lt;7,"À rechercher",IF(AG33&gt;=75,"P1",IF(AG33&gt;=60,"P2",IF(AG33&gt;=45,"P3","Faible priorité"))))</x:f>
        <x:v>À rechercher</x:v>
      </x:c>
      <x:c r="AI33" s="31"/>
      <x:c r="AJ33" s="31"/>
      <x:c r="AK33" s="35"/>
      <x:c r="AL33" s="31"/>
      <x:c r="AM33" s="31"/>
      <x:c r="AN33" s="31"/>
      <x:c r="AO33" s="31"/>
      <x:c r="AP33" s="31"/>
      <x:c r="AQ33" s="35"/>
      <x:c r="AR33" s="31"/>
      <x:c r="AS33" s="35"/>
      <x:c r="AT33" s="31"/>
      <x:c r="AU33" s="35"/>
      <x:c r="AV33" s="35"/>
      <x:c r="AW33" s="35"/>
      <x:c r="AX33" s="35"/>
      <x:c r="AY33" s="35"/>
      <x:c r="AZ33" s="35"/>
      <x:c r="BA33" s="35"/>
      <x:c r="BB33" s="35"/>
      <x:c r="BC33" s="35"/>
      <x:c r="BD33" s="35"/>
      <x:c r="BE33" s="31"/>
      <x:c r="BF33" s="31"/>
    </x:row>
    <x:row r="34">
      <x:c r="A34" s="31"/>
      <x:c r="B34" s="31"/>
      <x:c r="C34" s="33" t="str">
        <x:f>AH34</x:f>
        <x:v>À rechercher</x:v>
      </x:c>
      <x:c r="D34" s="31"/>
      <x:c r="E34" s="31"/>
      <x:c r="F34" s="31"/>
      <x:c r="G34" s="31"/>
      <x:c r="H34" s="31"/>
      <x:c r="I34" s="31"/>
      <x:c r="J34" s="37"/>
      <x:c r="K34" s="31"/>
      <x:c r="L34" s="31"/>
      <x:c r="M34" s="31"/>
      <x:c r="N34" s="31"/>
      <x:c r="O34" s="31"/>
      <x:c r="P34" s="31"/>
      <x:c r="Q34" s="31"/>
      <x:c r="R34" s="31"/>
      <x:c r="S34" s="35"/>
      <x:c r="T34" s="35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9" t="n">
        <x:f>COUNT(V34:AE34)</x:f>
        <x:v>0</x:v>
      </x:c>
      <x:c r="AG34" s="39" t="str">
        <x:f>IF(AF34&gt;=7,SUM(V34:AE34),"")</x:f>
      </x:c>
      <x:c r="AH34" s="33" t="str">
        <x:f>IF(AF34&lt;7,"À rechercher",IF(AG34&gt;=75,"P1",IF(AG34&gt;=60,"P2",IF(AG34&gt;=45,"P3","Faible priorité"))))</x:f>
        <x:v>À rechercher</x:v>
      </x:c>
      <x:c r="AI34" s="31"/>
      <x:c r="AJ34" s="31"/>
      <x:c r="AK34" s="35"/>
      <x:c r="AL34" s="31"/>
      <x:c r="AM34" s="31"/>
      <x:c r="AN34" s="31"/>
      <x:c r="AO34" s="31"/>
      <x:c r="AP34" s="31"/>
      <x:c r="AQ34" s="35"/>
      <x:c r="AR34" s="31"/>
      <x:c r="AS34" s="35"/>
      <x:c r="AT34" s="31"/>
      <x:c r="AU34" s="35"/>
      <x:c r="AV34" s="35"/>
      <x:c r="AW34" s="35"/>
      <x:c r="AX34" s="35"/>
      <x:c r="AY34" s="35"/>
      <x:c r="AZ34" s="35"/>
      <x:c r="BA34" s="35"/>
      <x:c r="BB34" s="35"/>
      <x:c r="BC34" s="35"/>
      <x:c r="BD34" s="35"/>
      <x:c r="BE34" s="31"/>
      <x:c r="BF34" s="31"/>
    </x:row>
    <x:row r="35">
      <x:c r="A35" s="31"/>
      <x:c r="B35" s="31"/>
      <x:c r="C35" s="33" t="str">
        <x:f>AH35</x:f>
        <x:v>À rechercher</x:v>
      </x:c>
      <x:c r="D35" s="31"/>
      <x:c r="E35" s="31"/>
      <x:c r="F35" s="31"/>
      <x:c r="G35" s="31"/>
      <x:c r="H35" s="31"/>
      <x:c r="I35" s="31"/>
      <x:c r="J35" s="37"/>
      <x:c r="K35" s="31"/>
      <x:c r="L35" s="31"/>
      <x:c r="M35" s="31"/>
      <x:c r="N35" s="31"/>
      <x:c r="O35" s="31"/>
      <x:c r="P35" s="31"/>
      <x:c r="Q35" s="31"/>
      <x:c r="R35" s="31"/>
      <x:c r="S35" s="35"/>
      <x:c r="T35" s="35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9" t="n">
        <x:f>COUNT(V35:AE35)</x:f>
        <x:v>0</x:v>
      </x:c>
      <x:c r="AG35" s="39" t="str">
        <x:f>IF(AF35&gt;=7,SUM(V35:AE35),"")</x:f>
      </x:c>
      <x:c r="AH35" s="33" t="str">
        <x:f>IF(AF35&lt;7,"À rechercher",IF(AG35&gt;=75,"P1",IF(AG35&gt;=60,"P2",IF(AG35&gt;=45,"P3","Faible priorité"))))</x:f>
        <x:v>À rechercher</x:v>
      </x:c>
      <x:c r="AI35" s="31"/>
      <x:c r="AJ35" s="31"/>
      <x:c r="AK35" s="35"/>
      <x:c r="AL35" s="31"/>
      <x:c r="AM35" s="31"/>
      <x:c r="AN35" s="31"/>
      <x:c r="AO35" s="31"/>
      <x:c r="AP35" s="31"/>
      <x:c r="AQ35" s="35"/>
      <x:c r="AR35" s="31"/>
      <x:c r="AS35" s="35"/>
      <x:c r="AT35" s="31"/>
      <x:c r="AU35" s="35"/>
      <x:c r="AV35" s="35"/>
      <x:c r="AW35" s="35"/>
      <x:c r="AX35" s="35"/>
      <x:c r="AY35" s="35"/>
      <x:c r="AZ35" s="35"/>
      <x:c r="BA35" s="35"/>
      <x:c r="BB35" s="35"/>
      <x:c r="BC35" s="35"/>
      <x:c r="BD35" s="35"/>
      <x:c r="BE35" s="31"/>
      <x:c r="BF35" s="31"/>
    </x:row>
    <x:row r="36">
      <x:c r="A36" s="31"/>
      <x:c r="B36" s="31"/>
      <x:c r="C36" s="33" t="str">
        <x:f>AH36</x:f>
        <x:v>À rechercher</x:v>
      </x:c>
      <x:c r="D36" s="31"/>
      <x:c r="E36" s="31"/>
      <x:c r="F36" s="31"/>
      <x:c r="G36" s="31"/>
      <x:c r="H36" s="31"/>
      <x:c r="I36" s="31"/>
      <x:c r="J36" s="37"/>
      <x:c r="K36" s="31"/>
      <x:c r="L36" s="31"/>
      <x:c r="M36" s="31"/>
      <x:c r="N36" s="31"/>
      <x:c r="O36" s="31"/>
      <x:c r="P36" s="31"/>
      <x:c r="Q36" s="31"/>
      <x:c r="R36" s="31"/>
      <x:c r="S36" s="35"/>
      <x:c r="T36" s="35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9" t="n">
        <x:f>COUNT(V36:AE36)</x:f>
        <x:v>0</x:v>
      </x:c>
      <x:c r="AG36" s="39" t="str">
        <x:f>IF(AF36&gt;=7,SUM(V36:AE36),"")</x:f>
      </x:c>
      <x:c r="AH36" s="33" t="str">
        <x:f>IF(AF36&lt;7,"À rechercher",IF(AG36&gt;=75,"P1",IF(AG36&gt;=60,"P2",IF(AG36&gt;=45,"P3","Faible priorité"))))</x:f>
        <x:v>À rechercher</x:v>
      </x:c>
      <x:c r="AI36" s="31"/>
      <x:c r="AJ36" s="31"/>
      <x:c r="AK36" s="35"/>
      <x:c r="AL36" s="31"/>
      <x:c r="AM36" s="31"/>
      <x:c r="AN36" s="31"/>
      <x:c r="AO36" s="31"/>
      <x:c r="AP36" s="31"/>
      <x:c r="AQ36" s="35"/>
      <x:c r="AR36" s="31"/>
      <x:c r="AS36" s="35"/>
      <x:c r="AT36" s="31"/>
      <x:c r="AU36" s="35"/>
      <x:c r="AV36" s="35"/>
      <x:c r="AW36" s="35"/>
      <x:c r="AX36" s="35"/>
      <x:c r="AY36" s="35"/>
      <x:c r="AZ36" s="35"/>
      <x:c r="BA36" s="35"/>
      <x:c r="BB36" s="35"/>
      <x:c r="BC36" s="35"/>
      <x:c r="BD36" s="35"/>
      <x:c r="BE36" s="31"/>
      <x:c r="BF36" s="31"/>
    </x:row>
    <x:row r="37">
      <x:c r="A37" s="31"/>
      <x:c r="B37" s="31"/>
      <x:c r="C37" s="33" t="str">
        <x:f>AH37</x:f>
        <x:v>À rechercher</x:v>
      </x:c>
      <x:c r="D37" s="31"/>
      <x:c r="E37" s="31"/>
      <x:c r="F37" s="31"/>
      <x:c r="G37" s="31"/>
      <x:c r="H37" s="31"/>
      <x:c r="I37" s="31"/>
      <x:c r="J37" s="37"/>
      <x:c r="K37" s="31"/>
      <x:c r="L37" s="31"/>
      <x:c r="M37" s="31"/>
      <x:c r="N37" s="31"/>
      <x:c r="O37" s="31"/>
      <x:c r="P37" s="31"/>
      <x:c r="Q37" s="31"/>
      <x:c r="R37" s="31"/>
      <x:c r="S37" s="35"/>
      <x:c r="T37" s="35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9" t="n">
        <x:f>COUNT(V37:AE37)</x:f>
        <x:v>0</x:v>
      </x:c>
      <x:c r="AG37" s="39" t="str">
        <x:f>IF(AF37&gt;=7,SUM(V37:AE37),"")</x:f>
      </x:c>
      <x:c r="AH37" s="33" t="str">
        <x:f>IF(AF37&lt;7,"À rechercher",IF(AG37&gt;=75,"P1",IF(AG37&gt;=60,"P2",IF(AG37&gt;=45,"P3","Faible priorité"))))</x:f>
        <x:v>À rechercher</x:v>
      </x:c>
      <x:c r="AI37" s="31"/>
      <x:c r="AJ37" s="31"/>
      <x:c r="AK37" s="35"/>
      <x:c r="AL37" s="31"/>
      <x:c r="AM37" s="31"/>
      <x:c r="AN37" s="31"/>
      <x:c r="AO37" s="31"/>
      <x:c r="AP37" s="31"/>
      <x:c r="AQ37" s="35"/>
      <x:c r="AR37" s="31"/>
      <x:c r="AS37" s="35"/>
      <x:c r="AT37" s="31"/>
      <x:c r="AU37" s="35"/>
      <x:c r="AV37" s="35"/>
      <x:c r="AW37" s="35"/>
      <x:c r="AX37" s="35"/>
      <x:c r="AY37" s="35"/>
      <x:c r="AZ37" s="35"/>
      <x:c r="BA37" s="35"/>
      <x:c r="BB37" s="35"/>
      <x:c r="BC37" s="35"/>
      <x:c r="BD37" s="35"/>
      <x:c r="BE37" s="31"/>
      <x:c r="BF37" s="31"/>
    </x:row>
    <x:row r="38">
      <x:c r="A38" s="31"/>
      <x:c r="B38" s="31"/>
      <x:c r="C38" s="33" t="str">
        <x:f>AH38</x:f>
        <x:v>À rechercher</x:v>
      </x:c>
      <x:c r="D38" s="31"/>
      <x:c r="E38" s="31"/>
      <x:c r="F38" s="31"/>
      <x:c r="G38" s="31"/>
      <x:c r="H38" s="31"/>
      <x:c r="I38" s="31"/>
      <x:c r="J38" s="37"/>
      <x:c r="K38" s="31"/>
      <x:c r="L38" s="31"/>
      <x:c r="M38" s="31"/>
      <x:c r="N38" s="31"/>
      <x:c r="O38" s="31"/>
      <x:c r="P38" s="31"/>
      <x:c r="Q38" s="31"/>
      <x:c r="R38" s="31"/>
      <x:c r="S38" s="35"/>
      <x:c r="T38" s="35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9" t="n">
        <x:f>COUNT(V38:AE38)</x:f>
        <x:v>0</x:v>
      </x:c>
      <x:c r="AG38" s="39" t="str">
        <x:f>IF(AF38&gt;=7,SUM(V38:AE38),"")</x:f>
      </x:c>
      <x:c r="AH38" s="33" t="str">
        <x:f>IF(AF38&lt;7,"À rechercher",IF(AG38&gt;=75,"P1",IF(AG38&gt;=60,"P2",IF(AG38&gt;=45,"P3","Faible priorité"))))</x:f>
        <x:v>À rechercher</x:v>
      </x:c>
      <x:c r="AI38" s="31"/>
      <x:c r="AJ38" s="31"/>
      <x:c r="AK38" s="35"/>
      <x:c r="AL38" s="31"/>
      <x:c r="AM38" s="31"/>
      <x:c r="AN38" s="31"/>
      <x:c r="AO38" s="31"/>
      <x:c r="AP38" s="31"/>
      <x:c r="AQ38" s="35"/>
      <x:c r="AR38" s="31"/>
      <x:c r="AS38" s="35"/>
      <x:c r="AT38" s="31"/>
      <x:c r="AU38" s="35"/>
      <x:c r="AV38" s="35"/>
      <x:c r="AW38" s="35"/>
      <x:c r="AX38" s="35"/>
      <x:c r="AY38" s="35"/>
      <x:c r="AZ38" s="35"/>
      <x:c r="BA38" s="35"/>
      <x:c r="BB38" s="35"/>
      <x:c r="BC38" s="35"/>
      <x:c r="BD38" s="35"/>
      <x:c r="BE38" s="31"/>
      <x:c r="BF38" s="31"/>
    </x:row>
    <x:row r="39">
      <x:c r="A39" s="31"/>
      <x:c r="B39" s="31"/>
      <x:c r="C39" s="33" t="str">
        <x:f>AH39</x:f>
        <x:v>À rechercher</x:v>
      </x:c>
      <x:c r="D39" s="31"/>
      <x:c r="E39" s="31"/>
      <x:c r="F39" s="31"/>
      <x:c r="G39" s="31"/>
      <x:c r="H39" s="31"/>
      <x:c r="I39" s="31"/>
      <x:c r="J39" s="37"/>
      <x:c r="K39" s="31"/>
      <x:c r="L39" s="31"/>
      <x:c r="M39" s="31"/>
      <x:c r="N39" s="31"/>
      <x:c r="O39" s="31"/>
      <x:c r="P39" s="31"/>
      <x:c r="Q39" s="31"/>
      <x:c r="R39" s="31"/>
      <x:c r="S39" s="35"/>
      <x:c r="T39" s="35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9" t="n">
        <x:f>COUNT(V39:AE39)</x:f>
        <x:v>0</x:v>
      </x:c>
      <x:c r="AG39" s="39" t="str">
        <x:f>IF(AF39&gt;=7,SUM(V39:AE39),"")</x:f>
      </x:c>
      <x:c r="AH39" s="33" t="str">
        <x:f>IF(AF39&lt;7,"À rechercher",IF(AG39&gt;=75,"P1",IF(AG39&gt;=60,"P2",IF(AG39&gt;=45,"P3","Faible priorité"))))</x:f>
        <x:v>À rechercher</x:v>
      </x:c>
      <x:c r="AI39" s="31"/>
      <x:c r="AJ39" s="31"/>
      <x:c r="AK39" s="35"/>
      <x:c r="AL39" s="31"/>
      <x:c r="AM39" s="31"/>
      <x:c r="AN39" s="31"/>
      <x:c r="AO39" s="31"/>
      <x:c r="AP39" s="31"/>
      <x:c r="AQ39" s="35"/>
      <x:c r="AR39" s="31"/>
      <x:c r="AS39" s="35"/>
      <x:c r="AT39" s="31"/>
      <x:c r="AU39" s="35"/>
      <x:c r="AV39" s="35"/>
      <x:c r="AW39" s="35"/>
      <x:c r="AX39" s="35"/>
      <x:c r="AY39" s="35"/>
      <x:c r="AZ39" s="35"/>
      <x:c r="BA39" s="35"/>
      <x:c r="BB39" s="35"/>
      <x:c r="BC39" s="35"/>
      <x:c r="BD39" s="35"/>
      <x:c r="BE39" s="31"/>
      <x:c r="BF39" s="31"/>
    </x:row>
    <x:row r="40">
      <x:c r="A40" s="31"/>
      <x:c r="B40" s="31"/>
      <x:c r="C40" s="33" t="str">
        <x:f>AH40</x:f>
        <x:v>À rechercher</x:v>
      </x:c>
      <x:c r="D40" s="31"/>
      <x:c r="E40" s="31"/>
      <x:c r="F40" s="31"/>
      <x:c r="G40" s="31"/>
      <x:c r="H40" s="31"/>
      <x:c r="I40" s="31"/>
      <x:c r="J40" s="37"/>
      <x:c r="K40" s="31"/>
      <x:c r="L40" s="31"/>
      <x:c r="M40" s="31"/>
      <x:c r="N40" s="31"/>
      <x:c r="O40" s="31"/>
      <x:c r="P40" s="31"/>
      <x:c r="Q40" s="31"/>
      <x:c r="R40" s="31"/>
      <x:c r="S40" s="35"/>
      <x:c r="T40" s="35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9" t="n">
        <x:f>COUNT(V40:AE40)</x:f>
        <x:v>0</x:v>
      </x:c>
      <x:c r="AG40" s="39" t="str">
        <x:f>IF(AF40&gt;=7,SUM(V40:AE40),"")</x:f>
      </x:c>
      <x:c r="AH40" s="33" t="str">
        <x:f>IF(AF40&lt;7,"À rechercher",IF(AG40&gt;=75,"P1",IF(AG40&gt;=60,"P2",IF(AG40&gt;=45,"P3","Faible priorité"))))</x:f>
        <x:v>À rechercher</x:v>
      </x:c>
      <x:c r="AI40" s="31"/>
      <x:c r="AJ40" s="31"/>
      <x:c r="AK40" s="35"/>
      <x:c r="AL40" s="31"/>
      <x:c r="AM40" s="31"/>
      <x:c r="AN40" s="31"/>
      <x:c r="AO40" s="31"/>
      <x:c r="AP40" s="31"/>
      <x:c r="AQ40" s="35"/>
      <x:c r="AR40" s="31"/>
      <x:c r="AS40" s="35"/>
      <x:c r="AT40" s="31"/>
      <x:c r="AU40" s="35"/>
      <x:c r="AV40" s="35"/>
      <x:c r="AW40" s="35"/>
      <x:c r="AX40" s="35"/>
      <x:c r="AY40" s="35"/>
      <x:c r="AZ40" s="35"/>
      <x:c r="BA40" s="35"/>
      <x:c r="BB40" s="35"/>
      <x:c r="BC40" s="35"/>
      <x:c r="BD40" s="35"/>
      <x:c r="BE40" s="31"/>
      <x:c r="BF40" s="31"/>
    </x:row>
    <x:row r="41">
      <x:c r="A41" s="31"/>
      <x:c r="B41" s="31"/>
      <x:c r="C41" s="33" t="str">
        <x:f>AH41</x:f>
        <x:v>À rechercher</x:v>
      </x:c>
      <x:c r="D41" s="31"/>
      <x:c r="E41" s="31"/>
      <x:c r="F41" s="31"/>
      <x:c r="G41" s="31"/>
      <x:c r="H41" s="31"/>
      <x:c r="I41" s="31"/>
      <x:c r="J41" s="37"/>
      <x:c r="K41" s="31"/>
      <x:c r="L41" s="31"/>
      <x:c r="M41" s="31"/>
      <x:c r="N41" s="31"/>
      <x:c r="O41" s="31"/>
      <x:c r="P41" s="31"/>
      <x:c r="Q41" s="31"/>
      <x:c r="R41" s="31"/>
      <x:c r="S41" s="35"/>
      <x:c r="T41" s="35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9" t="n">
        <x:f>COUNT(V41:AE41)</x:f>
        <x:v>0</x:v>
      </x:c>
      <x:c r="AG41" s="39" t="str">
        <x:f>IF(AF41&gt;=7,SUM(V41:AE41),"")</x:f>
      </x:c>
      <x:c r="AH41" s="33" t="str">
        <x:f>IF(AF41&lt;7,"À rechercher",IF(AG41&gt;=75,"P1",IF(AG41&gt;=60,"P2",IF(AG41&gt;=45,"P3","Faible priorité"))))</x:f>
        <x:v>À rechercher</x:v>
      </x:c>
      <x:c r="AI41" s="31"/>
      <x:c r="AJ41" s="31"/>
      <x:c r="AK41" s="35"/>
      <x:c r="AL41" s="31"/>
      <x:c r="AM41" s="31"/>
      <x:c r="AN41" s="31"/>
      <x:c r="AO41" s="31"/>
      <x:c r="AP41" s="31"/>
      <x:c r="AQ41" s="35"/>
      <x:c r="AR41" s="31"/>
      <x:c r="AS41" s="35"/>
      <x:c r="AT41" s="31"/>
      <x:c r="AU41" s="35"/>
      <x:c r="AV41" s="35"/>
      <x:c r="AW41" s="35"/>
      <x:c r="AX41" s="35"/>
      <x:c r="AY41" s="35"/>
      <x:c r="AZ41" s="35"/>
      <x:c r="BA41" s="35"/>
      <x:c r="BB41" s="35"/>
      <x:c r="BC41" s="35"/>
      <x:c r="BD41" s="35"/>
      <x:c r="BE41" s="31"/>
      <x:c r="BF41" s="31"/>
    </x:row>
    <x:row r="42">
      <x:c r="A42" s="31"/>
      <x:c r="B42" s="31"/>
      <x:c r="C42" s="33" t="str">
        <x:f>AH42</x:f>
        <x:v>À rechercher</x:v>
      </x:c>
      <x:c r="D42" s="31"/>
      <x:c r="E42" s="31"/>
      <x:c r="F42" s="31"/>
      <x:c r="G42" s="31"/>
      <x:c r="H42" s="31"/>
      <x:c r="I42" s="31"/>
      <x:c r="J42" s="37"/>
      <x:c r="K42" s="31"/>
      <x:c r="L42" s="31"/>
      <x:c r="M42" s="31"/>
      <x:c r="N42" s="31"/>
      <x:c r="O42" s="31"/>
      <x:c r="P42" s="31"/>
      <x:c r="Q42" s="31"/>
      <x:c r="R42" s="31"/>
      <x:c r="S42" s="35"/>
      <x:c r="T42" s="35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9" t="n">
        <x:f>COUNT(V42:AE42)</x:f>
        <x:v>0</x:v>
      </x:c>
      <x:c r="AG42" s="39" t="str">
        <x:f>IF(AF42&gt;=7,SUM(V42:AE42),"")</x:f>
      </x:c>
      <x:c r="AH42" s="33" t="str">
        <x:f>IF(AF42&lt;7,"À rechercher",IF(AG42&gt;=75,"P1",IF(AG42&gt;=60,"P2",IF(AG42&gt;=45,"P3","Faible priorité"))))</x:f>
        <x:v>À rechercher</x:v>
      </x:c>
      <x:c r="AI42" s="31"/>
      <x:c r="AJ42" s="31"/>
      <x:c r="AK42" s="35"/>
      <x:c r="AL42" s="31"/>
      <x:c r="AM42" s="31"/>
      <x:c r="AN42" s="31"/>
      <x:c r="AO42" s="31"/>
      <x:c r="AP42" s="31"/>
      <x:c r="AQ42" s="35"/>
      <x:c r="AR42" s="31"/>
      <x:c r="AS42" s="35"/>
      <x:c r="AT42" s="31"/>
      <x:c r="AU42" s="35"/>
      <x:c r="AV42" s="35"/>
      <x:c r="AW42" s="35"/>
      <x:c r="AX42" s="35"/>
      <x:c r="AY42" s="35"/>
      <x:c r="AZ42" s="35"/>
      <x:c r="BA42" s="35"/>
      <x:c r="BB42" s="35"/>
      <x:c r="BC42" s="35"/>
      <x:c r="BD42" s="35"/>
      <x:c r="BE42" s="31"/>
      <x:c r="BF42" s="31"/>
    </x:row>
    <x:row r="43">
      <x:c r="A43" s="31"/>
      <x:c r="B43" s="31"/>
      <x:c r="C43" s="33" t="str">
        <x:f>AH43</x:f>
        <x:v>À rechercher</x:v>
      </x:c>
      <x:c r="D43" s="31"/>
      <x:c r="E43" s="31"/>
      <x:c r="F43" s="31"/>
      <x:c r="G43" s="31"/>
      <x:c r="H43" s="31"/>
      <x:c r="I43" s="31"/>
      <x:c r="J43" s="37"/>
      <x:c r="K43" s="31"/>
      <x:c r="L43" s="31"/>
      <x:c r="M43" s="31"/>
      <x:c r="N43" s="31"/>
      <x:c r="O43" s="31"/>
      <x:c r="P43" s="31"/>
      <x:c r="Q43" s="31"/>
      <x:c r="R43" s="31"/>
      <x:c r="S43" s="35"/>
      <x:c r="T43" s="35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9" t="n">
        <x:f>COUNT(V43:AE43)</x:f>
        <x:v>0</x:v>
      </x:c>
      <x:c r="AG43" s="39" t="str">
        <x:f>IF(AF43&gt;=7,SUM(V43:AE43),"")</x:f>
      </x:c>
      <x:c r="AH43" s="33" t="str">
        <x:f>IF(AF43&lt;7,"À rechercher",IF(AG43&gt;=75,"P1",IF(AG43&gt;=60,"P2",IF(AG43&gt;=45,"P3","Faible priorité"))))</x:f>
        <x:v>À rechercher</x:v>
      </x:c>
      <x:c r="AI43" s="31"/>
      <x:c r="AJ43" s="31"/>
      <x:c r="AK43" s="35"/>
      <x:c r="AL43" s="31"/>
      <x:c r="AM43" s="31"/>
      <x:c r="AN43" s="31"/>
      <x:c r="AO43" s="31"/>
      <x:c r="AP43" s="31"/>
      <x:c r="AQ43" s="35"/>
      <x:c r="AR43" s="31"/>
      <x:c r="AS43" s="35"/>
      <x:c r="AT43" s="31"/>
      <x:c r="AU43" s="35"/>
      <x:c r="AV43" s="35"/>
      <x:c r="AW43" s="35"/>
      <x:c r="AX43" s="35"/>
      <x:c r="AY43" s="35"/>
      <x:c r="AZ43" s="35"/>
      <x:c r="BA43" s="35"/>
      <x:c r="BB43" s="35"/>
      <x:c r="BC43" s="35"/>
      <x:c r="BD43" s="35"/>
      <x:c r="BE43" s="31"/>
      <x:c r="BF43" s="31"/>
    </x:row>
    <x:row r="44">
      <x:c r="A44" s="31"/>
      <x:c r="B44" s="31"/>
      <x:c r="C44" s="33" t="str">
        <x:f>AH44</x:f>
        <x:v>À rechercher</x:v>
      </x:c>
      <x:c r="D44" s="31"/>
      <x:c r="E44" s="31"/>
      <x:c r="F44" s="31"/>
      <x:c r="G44" s="31"/>
      <x:c r="H44" s="31"/>
      <x:c r="I44" s="31"/>
      <x:c r="J44" s="37"/>
      <x:c r="K44" s="31"/>
      <x:c r="L44" s="31"/>
      <x:c r="M44" s="31"/>
      <x:c r="N44" s="31"/>
      <x:c r="O44" s="31"/>
      <x:c r="P44" s="31"/>
      <x:c r="Q44" s="31"/>
      <x:c r="R44" s="31"/>
      <x:c r="S44" s="35"/>
      <x:c r="T44" s="35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9" t="n">
        <x:f>COUNT(V44:AE44)</x:f>
        <x:v>0</x:v>
      </x:c>
      <x:c r="AG44" s="39" t="str">
        <x:f>IF(AF44&gt;=7,SUM(V44:AE44),"")</x:f>
      </x:c>
      <x:c r="AH44" s="33" t="str">
        <x:f>IF(AF44&lt;7,"À rechercher",IF(AG44&gt;=75,"P1",IF(AG44&gt;=60,"P2",IF(AG44&gt;=45,"P3","Faible priorité"))))</x:f>
        <x:v>À rechercher</x:v>
      </x:c>
      <x:c r="AI44" s="31"/>
      <x:c r="AJ44" s="31"/>
      <x:c r="AK44" s="35"/>
      <x:c r="AL44" s="31"/>
      <x:c r="AM44" s="31"/>
      <x:c r="AN44" s="31"/>
      <x:c r="AO44" s="31"/>
      <x:c r="AP44" s="31"/>
      <x:c r="AQ44" s="35"/>
      <x:c r="AR44" s="31"/>
      <x:c r="AS44" s="35"/>
      <x:c r="AT44" s="31"/>
      <x:c r="AU44" s="35"/>
      <x:c r="AV44" s="35"/>
      <x:c r="AW44" s="35"/>
      <x:c r="AX44" s="35"/>
      <x:c r="AY44" s="35"/>
      <x:c r="AZ44" s="35"/>
      <x:c r="BA44" s="35"/>
      <x:c r="BB44" s="35"/>
      <x:c r="BC44" s="35"/>
      <x:c r="BD44" s="35"/>
      <x:c r="BE44" s="31"/>
      <x:c r="BF44" s="31"/>
    </x:row>
    <x:row r="45">
      <x:c r="A45" s="31"/>
      <x:c r="B45" s="31"/>
      <x:c r="C45" s="33" t="str">
        <x:f>AH45</x:f>
        <x:v>À rechercher</x:v>
      </x:c>
      <x:c r="D45" s="31"/>
      <x:c r="E45" s="31"/>
      <x:c r="F45" s="31"/>
      <x:c r="G45" s="31"/>
      <x:c r="H45" s="31"/>
      <x:c r="I45" s="31"/>
      <x:c r="J45" s="37"/>
      <x:c r="K45" s="31"/>
      <x:c r="L45" s="31"/>
      <x:c r="M45" s="31"/>
      <x:c r="N45" s="31"/>
      <x:c r="O45" s="31"/>
      <x:c r="P45" s="31"/>
      <x:c r="Q45" s="31"/>
      <x:c r="R45" s="31"/>
      <x:c r="S45" s="35"/>
      <x:c r="T45" s="35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9" t="n">
        <x:f>COUNT(V45:AE45)</x:f>
        <x:v>0</x:v>
      </x:c>
      <x:c r="AG45" s="39" t="str">
        <x:f>IF(AF45&gt;=7,SUM(V45:AE45),"")</x:f>
      </x:c>
      <x:c r="AH45" s="33" t="str">
        <x:f>IF(AF45&lt;7,"À rechercher",IF(AG45&gt;=75,"P1",IF(AG45&gt;=60,"P2",IF(AG45&gt;=45,"P3","Faible priorité"))))</x:f>
        <x:v>À rechercher</x:v>
      </x:c>
      <x:c r="AI45" s="31"/>
      <x:c r="AJ45" s="31"/>
      <x:c r="AK45" s="35"/>
      <x:c r="AL45" s="31"/>
      <x:c r="AM45" s="31"/>
      <x:c r="AN45" s="31"/>
      <x:c r="AO45" s="31"/>
      <x:c r="AP45" s="31"/>
      <x:c r="AQ45" s="35"/>
      <x:c r="AR45" s="31"/>
      <x:c r="AS45" s="35"/>
      <x:c r="AT45" s="31"/>
      <x:c r="AU45" s="35"/>
      <x:c r="AV45" s="35"/>
      <x:c r="AW45" s="35"/>
      <x:c r="AX45" s="35"/>
      <x:c r="AY45" s="35"/>
      <x:c r="AZ45" s="35"/>
      <x:c r="BA45" s="35"/>
      <x:c r="BB45" s="35"/>
      <x:c r="BC45" s="35"/>
      <x:c r="BD45" s="35"/>
      <x:c r="BE45" s="31"/>
      <x:c r="BF45" s="31"/>
    </x:row>
    <x:row r="46">
      <x:c r="A46" s="31"/>
      <x:c r="B46" s="31"/>
      <x:c r="C46" s="33" t="str">
        <x:f>AH46</x:f>
        <x:v>À rechercher</x:v>
      </x:c>
      <x:c r="D46" s="31"/>
      <x:c r="E46" s="31"/>
      <x:c r="F46" s="31"/>
      <x:c r="G46" s="31"/>
      <x:c r="H46" s="31"/>
      <x:c r="I46" s="31"/>
      <x:c r="J46" s="37"/>
      <x:c r="K46" s="31"/>
      <x:c r="L46" s="31"/>
      <x:c r="M46" s="31"/>
      <x:c r="N46" s="31"/>
      <x:c r="O46" s="31"/>
      <x:c r="P46" s="31"/>
      <x:c r="Q46" s="31"/>
      <x:c r="R46" s="31"/>
      <x:c r="S46" s="35"/>
      <x:c r="T46" s="35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9" t="n">
        <x:f>COUNT(V46:AE46)</x:f>
        <x:v>0</x:v>
      </x:c>
      <x:c r="AG46" s="39" t="str">
        <x:f>IF(AF46&gt;=7,SUM(V46:AE46),"")</x:f>
      </x:c>
      <x:c r="AH46" s="33" t="str">
        <x:f>IF(AF46&lt;7,"À rechercher",IF(AG46&gt;=75,"P1",IF(AG46&gt;=60,"P2",IF(AG46&gt;=45,"P3","Faible priorité"))))</x:f>
        <x:v>À rechercher</x:v>
      </x:c>
      <x:c r="AI46" s="31"/>
      <x:c r="AJ46" s="31"/>
      <x:c r="AK46" s="35"/>
      <x:c r="AL46" s="31"/>
      <x:c r="AM46" s="31"/>
      <x:c r="AN46" s="31"/>
      <x:c r="AO46" s="31"/>
      <x:c r="AP46" s="31"/>
      <x:c r="AQ46" s="35"/>
      <x:c r="AR46" s="31"/>
      <x:c r="AS46" s="35"/>
      <x:c r="AT46" s="31"/>
      <x:c r="AU46" s="35"/>
      <x:c r="AV46" s="35"/>
      <x:c r="AW46" s="35"/>
      <x:c r="AX46" s="35"/>
      <x:c r="AY46" s="35"/>
      <x:c r="AZ46" s="35"/>
      <x:c r="BA46" s="35"/>
      <x:c r="BB46" s="35"/>
      <x:c r="BC46" s="35"/>
      <x:c r="BD46" s="35"/>
      <x:c r="BE46" s="31"/>
      <x:c r="BF46" s="31"/>
    </x:row>
    <x:row r="47">
      <x:c r="A47" s="31"/>
      <x:c r="B47" s="31"/>
      <x:c r="C47" s="33" t="str">
        <x:f>AH47</x:f>
        <x:v>À rechercher</x:v>
      </x:c>
      <x:c r="D47" s="31"/>
      <x:c r="E47" s="31"/>
      <x:c r="F47" s="31"/>
      <x:c r="G47" s="31"/>
      <x:c r="H47" s="31"/>
      <x:c r="I47" s="31"/>
      <x:c r="J47" s="37"/>
      <x:c r="K47" s="31"/>
      <x:c r="L47" s="31"/>
      <x:c r="M47" s="31"/>
      <x:c r="N47" s="31"/>
      <x:c r="O47" s="31"/>
      <x:c r="P47" s="31"/>
      <x:c r="Q47" s="31"/>
      <x:c r="R47" s="31"/>
      <x:c r="S47" s="35"/>
      <x:c r="T47" s="35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9" t="n">
        <x:f>COUNT(V47:AE47)</x:f>
        <x:v>0</x:v>
      </x:c>
      <x:c r="AG47" s="39" t="str">
        <x:f>IF(AF47&gt;=7,SUM(V47:AE47),"")</x:f>
      </x:c>
      <x:c r="AH47" s="33" t="str">
        <x:f>IF(AF47&lt;7,"À rechercher",IF(AG47&gt;=75,"P1",IF(AG47&gt;=60,"P2",IF(AG47&gt;=45,"P3","Faible priorité"))))</x:f>
        <x:v>À rechercher</x:v>
      </x:c>
      <x:c r="AI47" s="31"/>
      <x:c r="AJ47" s="31"/>
      <x:c r="AK47" s="35"/>
      <x:c r="AL47" s="31"/>
      <x:c r="AM47" s="31"/>
      <x:c r="AN47" s="31"/>
      <x:c r="AO47" s="31"/>
      <x:c r="AP47" s="31"/>
      <x:c r="AQ47" s="35"/>
      <x:c r="AR47" s="31"/>
      <x:c r="AS47" s="35"/>
      <x:c r="AT47" s="31"/>
      <x:c r="AU47" s="35"/>
      <x:c r="AV47" s="35"/>
      <x:c r="AW47" s="35"/>
      <x:c r="AX47" s="35"/>
      <x:c r="AY47" s="35"/>
      <x:c r="AZ47" s="35"/>
      <x:c r="BA47" s="35"/>
      <x:c r="BB47" s="35"/>
      <x:c r="BC47" s="35"/>
      <x:c r="BD47" s="35"/>
      <x:c r="BE47" s="31"/>
      <x:c r="BF47" s="31"/>
    </x:row>
    <x:row r="48">
      <x:c r="A48" s="31"/>
      <x:c r="B48" s="31"/>
      <x:c r="C48" s="33" t="str">
        <x:f>AH48</x:f>
        <x:v>À rechercher</x:v>
      </x:c>
      <x:c r="D48" s="31"/>
      <x:c r="E48" s="31"/>
      <x:c r="F48" s="31"/>
      <x:c r="G48" s="31"/>
      <x:c r="H48" s="31"/>
      <x:c r="I48" s="31"/>
      <x:c r="J48" s="37"/>
      <x:c r="K48" s="31"/>
      <x:c r="L48" s="31"/>
      <x:c r="M48" s="31"/>
      <x:c r="N48" s="31"/>
      <x:c r="O48" s="31"/>
      <x:c r="P48" s="31"/>
      <x:c r="Q48" s="31"/>
      <x:c r="R48" s="31"/>
      <x:c r="S48" s="35"/>
      <x:c r="T48" s="35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9" t="n">
        <x:f>COUNT(V48:AE48)</x:f>
        <x:v>0</x:v>
      </x:c>
      <x:c r="AG48" s="39" t="str">
        <x:f>IF(AF48&gt;=7,SUM(V48:AE48),"")</x:f>
      </x:c>
      <x:c r="AH48" s="33" t="str">
        <x:f>IF(AF48&lt;7,"À rechercher",IF(AG48&gt;=75,"P1",IF(AG48&gt;=60,"P2",IF(AG48&gt;=45,"P3","Faible priorité"))))</x:f>
        <x:v>À rechercher</x:v>
      </x:c>
      <x:c r="AI48" s="31"/>
      <x:c r="AJ48" s="31"/>
      <x:c r="AK48" s="35"/>
      <x:c r="AL48" s="31"/>
      <x:c r="AM48" s="31"/>
      <x:c r="AN48" s="31"/>
      <x:c r="AO48" s="31"/>
      <x:c r="AP48" s="31"/>
      <x:c r="AQ48" s="35"/>
      <x:c r="AR48" s="31"/>
      <x:c r="AS48" s="35"/>
      <x:c r="AT48" s="31"/>
      <x:c r="AU48" s="35"/>
      <x:c r="AV48" s="35"/>
      <x:c r="AW48" s="35"/>
      <x:c r="AX48" s="35"/>
      <x:c r="AY48" s="35"/>
      <x:c r="AZ48" s="35"/>
      <x:c r="BA48" s="35"/>
      <x:c r="BB48" s="35"/>
      <x:c r="BC48" s="35"/>
      <x:c r="BD48" s="35"/>
      <x:c r="BE48" s="31"/>
      <x:c r="BF48" s="31"/>
    </x:row>
    <x:row r="49">
      <x:c r="A49" s="31"/>
      <x:c r="B49" s="31"/>
      <x:c r="C49" s="33" t="str">
        <x:f>AH49</x:f>
        <x:v>À rechercher</x:v>
      </x:c>
      <x:c r="D49" s="31"/>
      <x:c r="E49" s="31"/>
      <x:c r="F49" s="31"/>
      <x:c r="G49" s="31"/>
      <x:c r="H49" s="31"/>
      <x:c r="I49" s="31"/>
      <x:c r="J49" s="37"/>
      <x:c r="K49" s="31"/>
      <x:c r="L49" s="31"/>
      <x:c r="M49" s="31"/>
      <x:c r="N49" s="31"/>
      <x:c r="O49" s="31"/>
      <x:c r="P49" s="31"/>
      <x:c r="Q49" s="31"/>
      <x:c r="R49" s="31"/>
      <x:c r="S49" s="35"/>
      <x:c r="T49" s="35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9" t="n">
        <x:f>COUNT(V49:AE49)</x:f>
        <x:v>0</x:v>
      </x:c>
      <x:c r="AG49" s="39" t="str">
        <x:f>IF(AF49&gt;=7,SUM(V49:AE49),"")</x:f>
      </x:c>
      <x:c r="AH49" s="33" t="str">
        <x:f>IF(AF49&lt;7,"À rechercher",IF(AG49&gt;=75,"P1",IF(AG49&gt;=60,"P2",IF(AG49&gt;=45,"P3","Faible priorité"))))</x:f>
        <x:v>À rechercher</x:v>
      </x:c>
      <x:c r="AI49" s="31"/>
      <x:c r="AJ49" s="31"/>
      <x:c r="AK49" s="35"/>
      <x:c r="AL49" s="31"/>
      <x:c r="AM49" s="31"/>
      <x:c r="AN49" s="31"/>
      <x:c r="AO49" s="31"/>
      <x:c r="AP49" s="31"/>
      <x:c r="AQ49" s="35"/>
      <x:c r="AR49" s="31"/>
      <x:c r="AS49" s="35"/>
      <x:c r="AT49" s="31"/>
      <x:c r="AU49" s="35"/>
      <x:c r="AV49" s="35"/>
      <x:c r="AW49" s="35"/>
      <x:c r="AX49" s="35"/>
      <x:c r="AY49" s="35"/>
      <x:c r="AZ49" s="35"/>
      <x:c r="BA49" s="35"/>
      <x:c r="BB49" s="35"/>
      <x:c r="BC49" s="35"/>
      <x:c r="BD49" s="35"/>
      <x:c r="BE49" s="31"/>
      <x:c r="BF49" s="31"/>
    </x:row>
    <x:row r="50">
      <x:c r="A50" s="31"/>
      <x:c r="B50" s="31"/>
      <x:c r="C50" s="33" t="str">
        <x:f>AH50</x:f>
        <x:v>À rechercher</x:v>
      </x:c>
      <x:c r="D50" s="31"/>
      <x:c r="E50" s="31"/>
      <x:c r="F50" s="31"/>
      <x:c r="G50" s="31"/>
      <x:c r="H50" s="31"/>
      <x:c r="I50" s="31"/>
      <x:c r="J50" s="37"/>
      <x:c r="K50" s="31"/>
      <x:c r="L50" s="31"/>
      <x:c r="M50" s="31"/>
      <x:c r="N50" s="31"/>
      <x:c r="O50" s="31"/>
      <x:c r="P50" s="31"/>
      <x:c r="Q50" s="31"/>
      <x:c r="R50" s="31"/>
      <x:c r="S50" s="35"/>
      <x:c r="T50" s="35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9" t="n">
        <x:f>COUNT(V50:AE50)</x:f>
        <x:v>0</x:v>
      </x:c>
      <x:c r="AG50" s="39" t="str">
        <x:f>IF(AF50&gt;=7,SUM(V50:AE50),"")</x:f>
      </x:c>
      <x:c r="AH50" s="33" t="str">
        <x:f>IF(AF50&lt;7,"À rechercher",IF(AG50&gt;=75,"P1",IF(AG50&gt;=60,"P2",IF(AG50&gt;=45,"P3","Faible priorité"))))</x:f>
        <x:v>À rechercher</x:v>
      </x:c>
      <x:c r="AI50" s="31"/>
      <x:c r="AJ50" s="31"/>
      <x:c r="AK50" s="35"/>
      <x:c r="AL50" s="31"/>
      <x:c r="AM50" s="31"/>
      <x:c r="AN50" s="31"/>
      <x:c r="AO50" s="31"/>
      <x:c r="AP50" s="31"/>
      <x:c r="AQ50" s="35"/>
      <x:c r="AR50" s="31"/>
      <x:c r="AS50" s="35"/>
      <x:c r="AT50" s="31"/>
      <x:c r="AU50" s="35"/>
      <x:c r="AV50" s="35"/>
      <x:c r="AW50" s="35"/>
      <x:c r="AX50" s="35"/>
      <x:c r="AY50" s="35"/>
      <x:c r="AZ50" s="35"/>
      <x:c r="BA50" s="35"/>
      <x:c r="BB50" s="35"/>
      <x:c r="BC50" s="35"/>
      <x:c r="BD50" s="35"/>
      <x:c r="BE50" s="31"/>
      <x:c r="BF50" s="31"/>
    </x:row>
    <x:row r="51">
      <x:c r="A51" s="31"/>
      <x:c r="B51" s="31"/>
      <x:c r="C51" s="33" t="str">
        <x:f>AH51</x:f>
        <x:v>À rechercher</x:v>
      </x:c>
      <x:c r="D51" s="31"/>
      <x:c r="E51" s="31"/>
      <x:c r="F51" s="31"/>
      <x:c r="G51" s="31"/>
      <x:c r="H51" s="31"/>
      <x:c r="I51" s="31"/>
      <x:c r="J51" s="37"/>
      <x:c r="K51" s="31"/>
      <x:c r="L51" s="31"/>
      <x:c r="M51" s="31"/>
      <x:c r="N51" s="31"/>
      <x:c r="O51" s="31"/>
      <x:c r="P51" s="31"/>
      <x:c r="Q51" s="31"/>
      <x:c r="R51" s="31"/>
      <x:c r="S51" s="35"/>
      <x:c r="T51" s="35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9" t="n">
        <x:f>COUNT(V51:AE51)</x:f>
        <x:v>0</x:v>
      </x:c>
      <x:c r="AG51" s="39" t="str">
        <x:f>IF(AF51&gt;=7,SUM(V51:AE51),"")</x:f>
      </x:c>
      <x:c r="AH51" s="33" t="str">
        <x:f>IF(AF51&lt;7,"À rechercher",IF(AG51&gt;=75,"P1",IF(AG51&gt;=60,"P2",IF(AG51&gt;=45,"P3","Faible priorité"))))</x:f>
        <x:v>À rechercher</x:v>
      </x:c>
      <x:c r="AI51" s="31"/>
      <x:c r="AJ51" s="31"/>
      <x:c r="AK51" s="35"/>
      <x:c r="AL51" s="31"/>
      <x:c r="AM51" s="31"/>
      <x:c r="AN51" s="31"/>
      <x:c r="AO51" s="31"/>
      <x:c r="AP51" s="31"/>
      <x:c r="AQ51" s="35"/>
      <x:c r="AR51" s="31"/>
      <x:c r="AS51" s="35"/>
      <x:c r="AT51" s="31"/>
      <x:c r="AU51" s="35"/>
      <x:c r="AV51" s="35"/>
      <x:c r="AW51" s="35"/>
      <x:c r="AX51" s="35"/>
      <x:c r="AY51" s="35"/>
      <x:c r="AZ51" s="35"/>
      <x:c r="BA51" s="35"/>
      <x:c r="BB51" s="35"/>
      <x:c r="BC51" s="35"/>
      <x:c r="BD51" s="35"/>
      <x:c r="BE51" s="31"/>
      <x:c r="BF51" s="31"/>
    </x:row>
    <x:row r="52">
      <x:c r="A52" s="31"/>
      <x:c r="B52" s="31"/>
      <x:c r="C52" s="33" t="str">
        <x:f>AH52</x:f>
        <x:v>À rechercher</x:v>
      </x:c>
      <x:c r="D52" s="31"/>
      <x:c r="E52" s="31"/>
      <x:c r="F52" s="31"/>
      <x:c r="G52" s="31"/>
      <x:c r="H52" s="31"/>
      <x:c r="I52" s="31"/>
      <x:c r="J52" s="37"/>
      <x:c r="K52" s="31"/>
      <x:c r="L52" s="31"/>
      <x:c r="M52" s="31"/>
      <x:c r="N52" s="31"/>
      <x:c r="O52" s="31"/>
      <x:c r="P52" s="31"/>
      <x:c r="Q52" s="31"/>
      <x:c r="R52" s="31"/>
      <x:c r="S52" s="35"/>
      <x:c r="T52" s="35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9" t="n">
        <x:f>COUNT(V52:AE52)</x:f>
        <x:v>0</x:v>
      </x:c>
      <x:c r="AG52" s="39" t="str">
        <x:f>IF(AF52&gt;=7,SUM(V52:AE52),"")</x:f>
      </x:c>
      <x:c r="AH52" s="33" t="str">
        <x:f>IF(AF52&lt;7,"À rechercher",IF(AG52&gt;=75,"P1",IF(AG52&gt;=60,"P2",IF(AG52&gt;=45,"P3","Faible priorité"))))</x:f>
        <x:v>À rechercher</x:v>
      </x:c>
      <x:c r="AI52" s="31"/>
      <x:c r="AJ52" s="31"/>
      <x:c r="AK52" s="35"/>
      <x:c r="AL52" s="31"/>
      <x:c r="AM52" s="31"/>
      <x:c r="AN52" s="31"/>
      <x:c r="AO52" s="31"/>
      <x:c r="AP52" s="31"/>
      <x:c r="AQ52" s="35"/>
      <x:c r="AR52" s="31"/>
      <x:c r="AS52" s="35"/>
      <x:c r="AT52" s="31"/>
      <x:c r="AU52" s="35"/>
      <x:c r="AV52" s="35"/>
      <x:c r="AW52" s="35"/>
      <x:c r="AX52" s="35"/>
      <x:c r="AY52" s="35"/>
      <x:c r="AZ52" s="35"/>
      <x:c r="BA52" s="35"/>
      <x:c r="BB52" s="35"/>
      <x:c r="BC52" s="35"/>
      <x:c r="BD52" s="35"/>
      <x:c r="BE52" s="31"/>
      <x:c r="BF52" s="31"/>
    </x:row>
    <x:row r="53">
      <x:c r="A53" s="31"/>
      <x:c r="B53" s="31"/>
      <x:c r="C53" s="33" t="str">
        <x:f>AH53</x:f>
        <x:v>À rechercher</x:v>
      </x:c>
      <x:c r="D53" s="31"/>
      <x:c r="E53" s="31"/>
      <x:c r="F53" s="31"/>
      <x:c r="G53" s="31"/>
      <x:c r="H53" s="31"/>
      <x:c r="I53" s="31"/>
      <x:c r="J53" s="37"/>
      <x:c r="K53" s="31"/>
      <x:c r="L53" s="31"/>
      <x:c r="M53" s="31"/>
      <x:c r="N53" s="31"/>
      <x:c r="O53" s="31"/>
      <x:c r="P53" s="31"/>
      <x:c r="Q53" s="31"/>
      <x:c r="R53" s="31"/>
      <x:c r="S53" s="35"/>
      <x:c r="T53" s="35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9" t="n">
        <x:f>COUNT(V53:AE53)</x:f>
        <x:v>0</x:v>
      </x:c>
      <x:c r="AG53" s="39" t="str">
        <x:f>IF(AF53&gt;=7,SUM(V53:AE53),"")</x:f>
      </x:c>
      <x:c r="AH53" s="33" t="str">
        <x:f>IF(AF53&lt;7,"À rechercher",IF(AG53&gt;=75,"P1",IF(AG53&gt;=60,"P2",IF(AG53&gt;=45,"P3","Faible priorité"))))</x:f>
        <x:v>À rechercher</x:v>
      </x:c>
      <x:c r="AI53" s="31"/>
      <x:c r="AJ53" s="31"/>
      <x:c r="AK53" s="35"/>
      <x:c r="AL53" s="31"/>
      <x:c r="AM53" s="31"/>
      <x:c r="AN53" s="31"/>
      <x:c r="AO53" s="31"/>
      <x:c r="AP53" s="31"/>
      <x:c r="AQ53" s="35"/>
      <x:c r="AR53" s="31"/>
      <x:c r="AS53" s="35"/>
      <x:c r="AT53" s="31"/>
      <x:c r="AU53" s="35"/>
      <x:c r="AV53" s="35"/>
      <x:c r="AW53" s="35"/>
      <x:c r="AX53" s="35"/>
      <x:c r="AY53" s="35"/>
      <x:c r="AZ53" s="35"/>
      <x:c r="BA53" s="35"/>
      <x:c r="BB53" s="35"/>
      <x:c r="BC53" s="35"/>
      <x:c r="BD53" s="35"/>
      <x:c r="BE53" s="31"/>
      <x:c r="BF53" s="31"/>
    </x:row>
    <x:row r="54">
      <x:c r="A54" s="31"/>
      <x:c r="B54" s="31"/>
      <x:c r="C54" s="33" t="str">
        <x:f>AH54</x:f>
        <x:v>À rechercher</x:v>
      </x:c>
      <x:c r="D54" s="31"/>
      <x:c r="E54" s="31"/>
      <x:c r="F54" s="31"/>
      <x:c r="G54" s="31"/>
      <x:c r="H54" s="31"/>
      <x:c r="I54" s="31"/>
      <x:c r="J54" s="37"/>
      <x:c r="K54" s="31"/>
      <x:c r="L54" s="31"/>
      <x:c r="M54" s="31"/>
      <x:c r="N54" s="31"/>
      <x:c r="O54" s="31"/>
      <x:c r="P54" s="31"/>
      <x:c r="Q54" s="31"/>
      <x:c r="R54" s="31"/>
      <x:c r="S54" s="35"/>
      <x:c r="T54" s="35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9" t="n">
        <x:f>COUNT(V54:AE54)</x:f>
        <x:v>0</x:v>
      </x:c>
      <x:c r="AG54" s="39" t="str">
        <x:f>IF(AF54&gt;=7,SUM(V54:AE54),"")</x:f>
      </x:c>
      <x:c r="AH54" s="33" t="str">
        <x:f>IF(AF54&lt;7,"À rechercher",IF(AG54&gt;=75,"P1",IF(AG54&gt;=60,"P2",IF(AG54&gt;=45,"P3","Faible priorité"))))</x:f>
        <x:v>À rechercher</x:v>
      </x:c>
      <x:c r="AI54" s="31"/>
      <x:c r="AJ54" s="31"/>
      <x:c r="AK54" s="35"/>
      <x:c r="AL54" s="31"/>
      <x:c r="AM54" s="31"/>
      <x:c r="AN54" s="31"/>
      <x:c r="AO54" s="31"/>
      <x:c r="AP54" s="31"/>
      <x:c r="AQ54" s="35"/>
      <x:c r="AR54" s="31"/>
      <x:c r="AS54" s="35"/>
      <x:c r="AT54" s="31"/>
      <x:c r="AU54" s="35"/>
      <x:c r="AV54" s="35"/>
      <x:c r="AW54" s="35"/>
      <x:c r="AX54" s="35"/>
      <x:c r="AY54" s="35"/>
      <x:c r="AZ54" s="35"/>
      <x:c r="BA54" s="35"/>
      <x:c r="BB54" s="35"/>
      <x:c r="BC54" s="35"/>
      <x:c r="BD54" s="35"/>
      <x:c r="BE54" s="31"/>
      <x:c r="BF54" s="31"/>
    </x:row>
    <x:row r="55">
      <x:c r="A55" s="31"/>
      <x:c r="B55" s="31"/>
      <x:c r="C55" s="33" t="str">
        <x:f>AH55</x:f>
        <x:v>À rechercher</x:v>
      </x:c>
      <x:c r="D55" s="31"/>
      <x:c r="E55" s="31"/>
      <x:c r="F55" s="31"/>
      <x:c r="G55" s="31"/>
      <x:c r="H55" s="31"/>
      <x:c r="I55" s="31"/>
      <x:c r="J55" s="37"/>
      <x:c r="K55" s="31"/>
      <x:c r="L55" s="31"/>
      <x:c r="M55" s="31"/>
      <x:c r="N55" s="31"/>
      <x:c r="O55" s="31"/>
      <x:c r="P55" s="31"/>
      <x:c r="Q55" s="31"/>
      <x:c r="R55" s="31"/>
      <x:c r="S55" s="35"/>
      <x:c r="T55" s="35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9" t="n">
        <x:f>COUNT(V55:AE55)</x:f>
        <x:v>0</x:v>
      </x:c>
      <x:c r="AG55" s="39" t="str">
        <x:f>IF(AF55&gt;=7,SUM(V55:AE55),"")</x:f>
      </x:c>
      <x:c r="AH55" s="33" t="str">
        <x:f>IF(AF55&lt;7,"À rechercher",IF(AG55&gt;=75,"P1",IF(AG55&gt;=60,"P2",IF(AG55&gt;=45,"P3","Faible priorité"))))</x:f>
        <x:v>À rechercher</x:v>
      </x:c>
      <x:c r="AI55" s="31"/>
      <x:c r="AJ55" s="31"/>
      <x:c r="AK55" s="35"/>
      <x:c r="AL55" s="31"/>
      <x:c r="AM55" s="31"/>
      <x:c r="AN55" s="31"/>
      <x:c r="AO55" s="31"/>
      <x:c r="AP55" s="31"/>
      <x:c r="AQ55" s="35"/>
      <x:c r="AR55" s="31"/>
      <x:c r="AS55" s="35"/>
      <x:c r="AT55" s="31"/>
      <x:c r="AU55" s="35"/>
      <x:c r="AV55" s="35"/>
      <x:c r="AW55" s="35"/>
      <x:c r="AX55" s="35"/>
      <x:c r="AY55" s="35"/>
      <x:c r="AZ55" s="35"/>
      <x:c r="BA55" s="35"/>
      <x:c r="BB55" s="35"/>
      <x:c r="BC55" s="35"/>
      <x:c r="BD55" s="35"/>
      <x:c r="BE55" s="31"/>
      <x:c r="BF55" s="31"/>
    </x:row>
    <x:row r="56">
      <x:c r="A56" s="31"/>
      <x:c r="B56" s="31"/>
      <x:c r="C56" s="33" t="str">
        <x:f>AH56</x:f>
        <x:v>À rechercher</x:v>
      </x:c>
      <x:c r="D56" s="31"/>
      <x:c r="E56" s="31"/>
      <x:c r="F56" s="31"/>
      <x:c r="G56" s="31"/>
      <x:c r="H56" s="31"/>
      <x:c r="I56" s="31"/>
      <x:c r="J56" s="37"/>
      <x:c r="K56" s="31"/>
      <x:c r="L56" s="31"/>
      <x:c r="M56" s="31"/>
      <x:c r="N56" s="31"/>
      <x:c r="O56" s="31"/>
      <x:c r="P56" s="31"/>
      <x:c r="Q56" s="31"/>
      <x:c r="R56" s="31"/>
      <x:c r="S56" s="35"/>
      <x:c r="T56" s="35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9" t="n">
        <x:f>COUNT(V56:AE56)</x:f>
        <x:v>0</x:v>
      </x:c>
      <x:c r="AG56" s="39" t="str">
        <x:f>IF(AF56&gt;=7,SUM(V56:AE56),"")</x:f>
      </x:c>
      <x:c r="AH56" s="33" t="str">
        <x:f>IF(AF56&lt;7,"À rechercher",IF(AG56&gt;=75,"P1",IF(AG56&gt;=60,"P2",IF(AG56&gt;=45,"P3","Faible priorité"))))</x:f>
        <x:v>À rechercher</x:v>
      </x:c>
      <x:c r="AI56" s="31"/>
      <x:c r="AJ56" s="31"/>
      <x:c r="AK56" s="35"/>
      <x:c r="AL56" s="31"/>
      <x:c r="AM56" s="31"/>
      <x:c r="AN56" s="31"/>
      <x:c r="AO56" s="31"/>
      <x:c r="AP56" s="31"/>
      <x:c r="AQ56" s="35"/>
      <x:c r="AR56" s="31"/>
      <x:c r="AS56" s="35"/>
      <x:c r="AT56" s="31"/>
      <x:c r="AU56" s="35"/>
      <x:c r="AV56" s="35"/>
      <x:c r="AW56" s="35"/>
      <x:c r="AX56" s="35"/>
      <x:c r="AY56" s="35"/>
      <x:c r="AZ56" s="35"/>
      <x:c r="BA56" s="35"/>
      <x:c r="BB56" s="35"/>
      <x:c r="BC56" s="35"/>
      <x:c r="BD56" s="35"/>
      <x:c r="BE56" s="31"/>
      <x:c r="BF56" s="31"/>
    </x:row>
    <x:row r="57">
      <x:c r="A57" s="31"/>
      <x:c r="B57" s="31"/>
      <x:c r="C57" s="33" t="str">
        <x:f>AH57</x:f>
        <x:v>À rechercher</x:v>
      </x:c>
      <x:c r="D57" s="31"/>
      <x:c r="E57" s="31"/>
      <x:c r="F57" s="31"/>
      <x:c r="G57" s="31"/>
      <x:c r="H57" s="31"/>
      <x:c r="I57" s="31"/>
      <x:c r="J57" s="37"/>
      <x:c r="K57" s="31"/>
      <x:c r="L57" s="31"/>
      <x:c r="M57" s="31"/>
      <x:c r="N57" s="31"/>
      <x:c r="O57" s="31"/>
      <x:c r="P57" s="31"/>
      <x:c r="Q57" s="31"/>
      <x:c r="R57" s="31"/>
      <x:c r="S57" s="35"/>
      <x:c r="T57" s="35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9" t="n">
        <x:f>COUNT(V57:AE57)</x:f>
        <x:v>0</x:v>
      </x:c>
      <x:c r="AG57" s="39" t="str">
        <x:f>IF(AF57&gt;=7,SUM(V57:AE57),"")</x:f>
      </x:c>
      <x:c r="AH57" s="33" t="str">
        <x:f>IF(AF57&lt;7,"À rechercher",IF(AG57&gt;=75,"P1",IF(AG57&gt;=60,"P2",IF(AG57&gt;=45,"P3","Faible priorité"))))</x:f>
        <x:v>À rechercher</x:v>
      </x:c>
      <x:c r="AI57" s="31"/>
      <x:c r="AJ57" s="31"/>
      <x:c r="AK57" s="35"/>
      <x:c r="AL57" s="31"/>
      <x:c r="AM57" s="31"/>
      <x:c r="AN57" s="31"/>
      <x:c r="AO57" s="31"/>
      <x:c r="AP57" s="31"/>
      <x:c r="AQ57" s="35"/>
      <x:c r="AR57" s="31"/>
      <x:c r="AS57" s="35"/>
      <x:c r="AT57" s="31"/>
      <x:c r="AU57" s="35"/>
      <x:c r="AV57" s="35"/>
      <x:c r="AW57" s="35"/>
      <x:c r="AX57" s="35"/>
      <x:c r="AY57" s="35"/>
      <x:c r="AZ57" s="35"/>
      <x:c r="BA57" s="35"/>
      <x:c r="BB57" s="35"/>
      <x:c r="BC57" s="35"/>
      <x:c r="BD57" s="35"/>
      <x:c r="BE57" s="31"/>
      <x:c r="BF57" s="31"/>
    </x:row>
    <x:row r="58">
      <x:c r="A58" s="31"/>
      <x:c r="B58" s="31"/>
      <x:c r="C58" s="33" t="str">
        <x:f>AH58</x:f>
        <x:v>À rechercher</x:v>
      </x:c>
      <x:c r="D58" s="31"/>
      <x:c r="E58" s="31"/>
      <x:c r="F58" s="31"/>
      <x:c r="G58" s="31"/>
      <x:c r="H58" s="31"/>
      <x:c r="I58" s="31"/>
      <x:c r="J58" s="37"/>
      <x:c r="K58" s="31"/>
      <x:c r="L58" s="31"/>
      <x:c r="M58" s="31"/>
      <x:c r="N58" s="31"/>
      <x:c r="O58" s="31"/>
      <x:c r="P58" s="31"/>
      <x:c r="Q58" s="31"/>
      <x:c r="R58" s="31"/>
      <x:c r="S58" s="35"/>
      <x:c r="T58" s="35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9" t="n">
        <x:f>COUNT(V58:AE58)</x:f>
        <x:v>0</x:v>
      </x:c>
      <x:c r="AG58" s="39" t="str">
        <x:f>IF(AF58&gt;=7,SUM(V58:AE58),"")</x:f>
      </x:c>
      <x:c r="AH58" s="33" t="str">
        <x:f>IF(AF58&lt;7,"À rechercher",IF(AG58&gt;=75,"P1",IF(AG58&gt;=60,"P2",IF(AG58&gt;=45,"P3","Faible priorité"))))</x:f>
        <x:v>À rechercher</x:v>
      </x:c>
      <x:c r="AI58" s="31"/>
      <x:c r="AJ58" s="31"/>
      <x:c r="AK58" s="35"/>
      <x:c r="AL58" s="31"/>
      <x:c r="AM58" s="31"/>
      <x:c r="AN58" s="31"/>
      <x:c r="AO58" s="31"/>
      <x:c r="AP58" s="31"/>
      <x:c r="AQ58" s="35"/>
      <x:c r="AR58" s="31"/>
      <x:c r="AS58" s="35"/>
      <x:c r="AT58" s="31"/>
      <x:c r="AU58" s="35"/>
      <x:c r="AV58" s="35"/>
      <x:c r="AW58" s="35"/>
      <x:c r="AX58" s="35"/>
      <x:c r="AY58" s="35"/>
      <x:c r="AZ58" s="35"/>
      <x:c r="BA58" s="35"/>
      <x:c r="BB58" s="35"/>
      <x:c r="BC58" s="35"/>
      <x:c r="BD58" s="35"/>
      <x:c r="BE58" s="31"/>
      <x:c r="BF58" s="31"/>
    </x:row>
    <x:row r="59">
      <x:c r="A59" s="31"/>
      <x:c r="B59" s="31"/>
      <x:c r="C59" s="33" t="str">
        <x:f>AH59</x:f>
        <x:v>À rechercher</x:v>
      </x:c>
      <x:c r="D59" s="31"/>
      <x:c r="E59" s="31"/>
      <x:c r="F59" s="31"/>
      <x:c r="G59" s="31"/>
      <x:c r="H59" s="31"/>
      <x:c r="I59" s="31"/>
      <x:c r="J59" s="37"/>
      <x:c r="K59" s="31"/>
      <x:c r="L59" s="31"/>
      <x:c r="M59" s="31"/>
      <x:c r="N59" s="31"/>
      <x:c r="O59" s="31"/>
      <x:c r="P59" s="31"/>
      <x:c r="Q59" s="31"/>
      <x:c r="R59" s="31"/>
      <x:c r="S59" s="35"/>
      <x:c r="T59" s="35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9" t="n">
        <x:f>COUNT(V59:AE59)</x:f>
        <x:v>0</x:v>
      </x:c>
      <x:c r="AG59" s="39" t="str">
        <x:f>IF(AF59&gt;=7,SUM(V59:AE59),"")</x:f>
      </x:c>
      <x:c r="AH59" s="33" t="str">
        <x:f>IF(AF59&lt;7,"À rechercher",IF(AG59&gt;=75,"P1",IF(AG59&gt;=60,"P2",IF(AG59&gt;=45,"P3","Faible priorité"))))</x:f>
        <x:v>À rechercher</x:v>
      </x:c>
      <x:c r="AI59" s="31"/>
      <x:c r="AJ59" s="31"/>
      <x:c r="AK59" s="35"/>
      <x:c r="AL59" s="31"/>
      <x:c r="AM59" s="31"/>
      <x:c r="AN59" s="31"/>
      <x:c r="AO59" s="31"/>
      <x:c r="AP59" s="31"/>
      <x:c r="AQ59" s="35"/>
      <x:c r="AR59" s="31"/>
      <x:c r="AS59" s="35"/>
      <x:c r="AT59" s="31"/>
      <x:c r="AU59" s="35"/>
      <x:c r="AV59" s="35"/>
      <x:c r="AW59" s="35"/>
      <x:c r="AX59" s="35"/>
      <x:c r="AY59" s="35"/>
      <x:c r="AZ59" s="35"/>
      <x:c r="BA59" s="35"/>
      <x:c r="BB59" s="35"/>
      <x:c r="BC59" s="35"/>
      <x:c r="BD59" s="35"/>
      <x:c r="BE59" s="31"/>
      <x:c r="BF59" s="31"/>
    </x:row>
    <x:row r="60">
      <x:c r="A60" s="31"/>
      <x:c r="B60" s="31"/>
      <x:c r="C60" s="33" t="str">
        <x:f>AH60</x:f>
        <x:v>À rechercher</x:v>
      </x:c>
      <x:c r="D60" s="31"/>
      <x:c r="E60" s="31"/>
      <x:c r="F60" s="31"/>
      <x:c r="G60" s="31"/>
      <x:c r="H60" s="31"/>
      <x:c r="I60" s="31"/>
      <x:c r="J60" s="37"/>
      <x:c r="K60" s="31"/>
      <x:c r="L60" s="31"/>
      <x:c r="M60" s="31"/>
      <x:c r="N60" s="31"/>
      <x:c r="O60" s="31"/>
      <x:c r="P60" s="31"/>
      <x:c r="Q60" s="31"/>
      <x:c r="R60" s="31"/>
      <x:c r="S60" s="35"/>
      <x:c r="T60" s="35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9" t="n">
        <x:f>COUNT(V60:AE60)</x:f>
        <x:v>0</x:v>
      </x:c>
      <x:c r="AG60" s="39" t="str">
        <x:f>IF(AF60&gt;=7,SUM(V60:AE60),"")</x:f>
      </x:c>
      <x:c r="AH60" s="33" t="str">
        <x:f>IF(AF60&lt;7,"À rechercher",IF(AG60&gt;=75,"P1",IF(AG60&gt;=60,"P2",IF(AG60&gt;=45,"P3","Faible priorité"))))</x:f>
        <x:v>À rechercher</x:v>
      </x:c>
      <x:c r="AI60" s="31"/>
      <x:c r="AJ60" s="31"/>
      <x:c r="AK60" s="35"/>
      <x:c r="AL60" s="31"/>
      <x:c r="AM60" s="31"/>
      <x:c r="AN60" s="31"/>
      <x:c r="AO60" s="31"/>
      <x:c r="AP60" s="31"/>
      <x:c r="AQ60" s="35"/>
      <x:c r="AR60" s="31"/>
      <x:c r="AS60" s="35"/>
      <x:c r="AT60" s="31"/>
      <x:c r="AU60" s="35"/>
      <x:c r="AV60" s="35"/>
      <x:c r="AW60" s="35"/>
      <x:c r="AX60" s="35"/>
      <x:c r="AY60" s="35"/>
      <x:c r="AZ60" s="35"/>
      <x:c r="BA60" s="35"/>
      <x:c r="BB60" s="35"/>
      <x:c r="BC60" s="35"/>
      <x:c r="BD60" s="35"/>
      <x:c r="BE60" s="31"/>
      <x:c r="BF60" s="31"/>
    </x:row>
    <x:row r="61">
      <x:c r="A61" s="31"/>
      <x:c r="B61" s="31"/>
      <x:c r="C61" s="33" t="str">
        <x:f>AH61</x:f>
        <x:v>À rechercher</x:v>
      </x:c>
      <x:c r="D61" s="31"/>
      <x:c r="E61" s="31"/>
      <x:c r="F61" s="31"/>
      <x:c r="G61" s="31"/>
      <x:c r="H61" s="31"/>
      <x:c r="I61" s="31"/>
      <x:c r="J61" s="37"/>
      <x:c r="K61" s="31"/>
      <x:c r="L61" s="31"/>
      <x:c r="M61" s="31"/>
      <x:c r="N61" s="31"/>
      <x:c r="O61" s="31"/>
      <x:c r="P61" s="31"/>
      <x:c r="Q61" s="31"/>
      <x:c r="R61" s="31"/>
      <x:c r="S61" s="35"/>
      <x:c r="T61" s="35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9" t="n">
        <x:f>COUNT(V61:AE61)</x:f>
        <x:v>0</x:v>
      </x:c>
      <x:c r="AG61" s="39" t="str">
        <x:f>IF(AF61&gt;=7,SUM(V61:AE61),"")</x:f>
      </x:c>
      <x:c r="AH61" s="33" t="str">
        <x:f>IF(AF61&lt;7,"À rechercher",IF(AG61&gt;=75,"P1",IF(AG61&gt;=60,"P2",IF(AG61&gt;=45,"P3","Faible priorité"))))</x:f>
        <x:v>À rechercher</x:v>
      </x:c>
      <x:c r="AI61" s="31"/>
      <x:c r="AJ61" s="31"/>
      <x:c r="AK61" s="35"/>
      <x:c r="AL61" s="31"/>
      <x:c r="AM61" s="31"/>
      <x:c r="AN61" s="31"/>
      <x:c r="AO61" s="31"/>
      <x:c r="AP61" s="31"/>
      <x:c r="AQ61" s="35"/>
      <x:c r="AR61" s="31"/>
      <x:c r="AS61" s="35"/>
      <x:c r="AT61" s="31"/>
      <x:c r="AU61" s="35"/>
      <x:c r="AV61" s="35"/>
      <x:c r="AW61" s="35"/>
      <x:c r="AX61" s="35"/>
      <x:c r="AY61" s="35"/>
      <x:c r="AZ61" s="35"/>
      <x:c r="BA61" s="35"/>
      <x:c r="BB61" s="35"/>
      <x:c r="BC61" s="35"/>
      <x:c r="BD61" s="35"/>
      <x:c r="BE61" s="31"/>
      <x:c r="BF61" s="31"/>
    </x:row>
    <x:row r="62">
      <x:c r="A62" s="31"/>
      <x:c r="B62" s="31"/>
      <x:c r="C62" s="33" t="str">
        <x:f>AH62</x:f>
        <x:v>À rechercher</x:v>
      </x:c>
      <x:c r="D62" s="31"/>
      <x:c r="E62" s="31"/>
      <x:c r="F62" s="31"/>
      <x:c r="G62" s="31"/>
      <x:c r="H62" s="31"/>
      <x:c r="I62" s="31"/>
      <x:c r="J62" s="37"/>
      <x:c r="K62" s="31"/>
      <x:c r="L62" s="31"/>
      <x:c r="M62" s="31"/>
      <x:c r="N62" s="31"/>
      <x:c r="O62" s="31"/>
      <x:c r="P62" s="31"/>
      <x:c r="Q62" s="31"/>
      <x:c r="R62" s="31"/>
      <x:c r="S62" s="35"/>
      <x:c r="T62" s="35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9" t="n">
        <x:f>COUNT(V62:AE62)</x:f>
        <x:v>0</x:v>
      </x:c>
      <x:c r="AG62" s="39" t="str">
        <x:f>IF(AF62&gt;=7,SUM(V62:AE62),"")</x:f>
      </x:c>
      <x:c r="AH62" s="33" t="str">
        <x:f>IF(AF62&lt;7,"À rechercher",IF(AG62&gt;=75,"P1",IF(AG62&gt;=60,"P2",IF(AG62&gt;=45,"P3","Faible priorité"))))</x:f>
        <x:v>À rechercher</x:v>
      </x:c>
      <x:c r="AI62" s="31"/>
      <x:c r="AJ62" s="31"/>
      <x:c r="AK62" s="35"/>
      <x:c r="AL62" s="31"/>
      <x:c r="AM62" s="31"/>
      <x:c r="AN62" s="31"/>
      <x:c r="AO62" s="31"/>
      <x:c r="AP62" s="31"/>
      <x:c r="AQ62" s="35"/>
      <x:c r="AR62" s="31"/>
      <x:c r="AS62" s="35"/>
      <x:c r="AT62" s="31"/>
      <x:c r="AU62" s="35"/>
      <x:c r="AV62" s="35"/>
      <x:c r="AW62" s="35"/>
      <x:c r="AX62" s="35"/>
      <x:c r="AY62" s="35"/>
      <x:c r="AZ62" s="35"/>
      <x:c r="BA62" s="35"/>
      <x:c r="BB62" s="35"/>
      <x:c r="BC62" s="35"/>
      <x:c r="BD62" s="35"/>
      <x:c r="BE62" s="31"/>
      <x:c r="BF62" s="31"/>
    </x:row>
    <x:row r="63">
      <x:c r="A63" s="31"/>
      <x:c r="B63" s="31"/>
      <x:c r="C63" s="33" t="str">
        <x:f>AH63</x:f>
        <x:v>À rechercher</x:v>
      </x:c>
      <x:c r="D63" s="31"/>
      <x:c r="E63" s="31"/>
      <x:c r="F63" s="31"/>
      <x:c r="G63" s="31"/>
      <x:c r="H63" s="31"/>
      <x:c r="I63" s="31"/>
      <x:c r="J63" s="37"/>
      <x:c r="K63" s="31"/>
      <x:c r="L63" s="31"/>
      <x:c r="M63" s="31"/>
      <x:c r="N63" s="31"/>
      <x:c r="O63" s="31"/>
      <x:c r="P63" s="31"/>
      <x:c r="Q63" s="31"/>
      <x:c r="R63" s="31"/>
      <x:c r="S63" s="35"/>
      <x:c r="T63" s="35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9" t="n">
        <x:f>COUNT(V63:AE63)</x:f>
        <x:v>0</x:v>
      </x:c>
      <x:c r="AG63" s="39" t="str">
        <x:f>IF(AF63&gt;=7,SUM(V63:AE63),"")</x:f>
      </x:c>
      <x:c r="AH63" s="33" t="str">
        <x:f>IF(AF63&lt;7,"À rechercher",IF(AG63&gt;=75,"P1",IF(AG63&gt;=60,"P2",IF(AG63&gt;=45,"P3","Faible priorité"))))</x:f>
        <x:v>À rechercher</x:v>
      </x:c>
      <x:c r="AI63" s="31"/>
      <x:c r="AJ63" s="31"/>
      <x:c r="AK63" s="35"/>
      <x:c r="AL63" s="31"/>
      <x:c r="AM63" s="31"/>
      <x:c r="AN63" s="31"/>
      <x:c r="AO63" s="31"/>
      <x:c r="AP63" s="31"/>
      <x:c r="AQ63" s="35"/>
      <x:c r="AR63" s="31"/>
      <x:c r="AS63" s="35"/>
      <x:c r="AT63" s="31"/>
      <x:c r="AU63" s="35"/>
      <x:c r="AV63" s="35"/>
      <x:c r="AW63" s="35"/>
      <x:c r="AX63" s="35"/>
      <x:c r="AY63" s="35"/>
      <x:c r="AZ63" s="35"/>
      <x:c r="BA63" s="35"/>
      <x:c r="BB63" s="35"/>
      <x:c r="BC63" s="35"/>
      <x:c r="BD63" s="35"/>
      <x:c r="BE63" s="31"/>
      <x:c r="BF63" s="31"/>
    </x:row>
    <x:row r="64">
      <x:c r="A64" s="31"/>
      <x:c r="B64" s="31"/>
      <x:c r="C64" s="33" t="str">
        <x:f>AH64</x:f>
        <x:v>À rechercher</x:v>
      </x:c>
      <x:c r="D64" s="31"/>
      <x:c r="E64" s="31"/>
      <x:c r="F64" s="31"/>
      <x:c r="G64" s="31"/>
      <x:c r="H64" s="31"/>
      <x:c r="I64" s="31"/>
      <x:c r="J64" s="37"/>
      <x:c r="K64" s="31"/>
      <x:c r="L64" s="31"/>
      <x:c r="M64" s="31"/>
      <x:c r="N64" s="31"/>
      <x:c r="O64" s="31"/>
      <x:c r="P64" s="31"/>
      <x:c r="Q64" s="31"/>
      <x:c r="R64" s="31"/>
      <x:c r="S64" s="35"/>
      <x:c r="T64" s="35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9" t="n">
        <x:f>COUNT(V64:AE64)</x:f>
        <x:v>0</x:v>
      </x:c>
      <x:c r="AG64" s="39" t="str">
        <x:f>IF(AF64&gt;=7,SUM(V64:AE64),"")</x:f>
      </x:c>
      <x:c r="AH64" s="33" t="str">
        <x:f>IF(AF64&lt;7,"À rechercher",IF(AG64&gt;=75,"P1",IF(AG64&gt;=60,"P2",IF(AG64&gt;=45,"P3","Faible priorité"))))</x:f>
        <x:v>À rechercher</x:v>
      </x:c>
      <x:c r="AI64" s="31"/>
      <x:c r="AJ64" s="31"/>
      <x:c r="AK64" s="35"/>
      <x:c r="AL64" s="31"/>
      <x:c r="AM64" s="31"/>
      <x:c r="AN64" s="31"/>
      <x:c r="AO64" s="31"/>
      <x:c r="AP64" s="31"/>
      <x:c r="AQ64" s="35"/>
      <x:c r="AR64" s="31"/>
      <x:c r="AS64" s="35"/>
      <x:c r="AT64" s="31"/>
      <x:c r="AU64" s="35"/>
      <x:c r="AV64" s="35"/>
      <x:c r="AW64" s="35"/>
      <x:c r="AX64" s="35"/>
      <x:c r="AY64" s="35"/>
      <x:c r="AZ64" s="35"/>
      <x:c r="BA64" s="35"/>
      <x:c r="BB64" s="35"/>
      <x:c r="BC64" s="35"/>
      <x:c r="BD64" s="35"/>
      <x:c r="BE64" s="31"/>
      <x:c r="BF64" s="31"/>
    </x:row>
    <x:row r="65">
      <x:c r="A65" s="31"/>
      <x:c r="B65" s="31"/>
      <x:c r="C65" s="33" t="str">
        <x:f>AH65</x:f>
        <x:v>À rechercher</x:v>
      </x:c>
      <x:c r="D65" s="31"/>
      <x:c r="E65" s="31"/>
      <x:c r="F65" s="31"/>
      <x:c r="G65" s="31"/>
      <x:c r="H65" s="31"/>
      <x:c r="I65" s="31"/>
      <x:c r="J65" s="37"/>
      <x:c r="K65" s="31"/>
      <x:c r="L65" s="31"/>
      <x:c r="M65" s="31"/>
      <x:c r="N65" s="31"/>
      <x:c r="O65" s="31"/>
      <x:c r="P65" s="31"/>
      <x:c r="Q65" s="31"/>
      <x:c r="R65" s="31"/>
      <x:c r="S65" s="35"/>
      <x:c r="T65" s="35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9" t="n">
        <x:f>COUNT(V65:AE65)</x:f>
        <x:v>0</x:v>
      </x:c>
      <x:c r="AG65" s="39" t="str">
        <x:f>IF(AF65&gt;=7,SUM(V65:AE65),"")</x:f>
      </x:c>
      <x:c r="AH65" s="33" t="str">
        <x:f>IF(AF65&lt;7,"À rechercher",IF(AG65&gt;=75,"P1",IF(AG65&gt;=60,"P2",IF(AG65&gt;=45,"P3","Faible priorité"))))</x:f>
        <x:v>À rechercher</x:v>
      </x:c>
      <x:c r="AI65" s="31"/>
      <x:c r="AJ65" s="31"/>
      <x:c r="AK65" s="35"/>
      <x:c r="AL65" s="31"/>
      <x:c r="AM65" s="31"/>
      <x:c r="AN65" s="31"/>
      <x:c r="AO65" s="31"/>
      <x:c r="AP65" s="31"/>
      <x:c r="AQ65" s="35"/>
      <x:c r="AR65" s="31"/>
      <x:c r="AS65" s="35"/>
      <x:c r="AT65" s="31"/>
      <x:c r="AU65" s="35"/>
      <x:c r="AV65" s="35"/>
      <x:c r="AW65" s="35"/>
      <x:c r="AX65" s="35"/>
      <x:c r="AY65" s="35"/>
      <x:c r="AZ65" s="35"/>
      <x:c r="BA65" s="35"/>
      <x:c r="BB65" s="35"/>
      <x:c r="BC65" s="35"/>
      <x:c r="BD65" s="35"/>
      <x:c r="BE65" s="31"/>
      <x:c r="BF65" s="31"/>
    </x:row>
    <x:row r="66">
      <x:c r="A66" s="31"/>
      <x:c r="B66" s="31"/>
      <x:c r="C66" s="33" t="str">
        <x:f>AH66</x:f>
        <x:v>À rechercher</x:v>
      </x:c>
      <x:c r="D66" s="31"/>
      <x:c r="E66" s="31"/>
      <x:c r="F66" s="31"/>
      <x:c r="G66" s="31"/>
      <x:c r="H66" s="31"/>
      <x:c r="I66" s="31"/>
      <x:c r="J66" s="37"/>
      <x:c r="K66" s="31"/>
      <x:c r="L66" s="31"/>
      <x:c r="M66" s="31"/>
      <x:c r="N66" s="31"/>
      <x:c r="O66" s="31"/>
      <x:c r="P66" s="31"/>
      <x:c r="Q66" s="31"/>
      <x:c r="R66" s="31"/>
      <x:c r="S66" s="35"/>
      <x:c r="T66" s="35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9" t="n">
        <x:f>COUNT(V66:AE66)</x:f>
        <x:v>0</x:v>
      </x:c>
      <x:c r="AG66" s="39" t="str">
        <x:f>IF(AF66&gt;=7,SUM(V66:AE66),"")</x:f>
      </x:c>
      <x:c r="AH66" s="33" t="str">
        <x:f>IF(AF66&lt;7,"À rechercher",IF(AG66&gt;=75,"P1",IF(AG66&gt;=60,"P2",IF(AG66&gt;=45,"P3","Faible priorité"))))</x:f>
        <x:v>À rechercher</x:v>
      </x:c>
      <x:c r="AI66" s="31"/>
      <x:c r="AJ66" s="31"/>
      <x:c r="AK66" s="35"/>
      <x:c r="AL66" s="31"/>
      <x:c r="AM66" s="31"/>
      <x:c r="AN66" s="31"/>
      <x:c r="AO66" s="31"/>
      <x:c r="AP66" s="31"/>
      <x:c r="AQ66" s="35"/>
      <x:c r="AR66" s="31"/>
      <x:c r="AS66" s="35"/>
      <x:c r="AT66" s="31"/>
      <x:c r="AU66" s="35"/>
      <x:c r="AV66" s="35"/>
      <x:c r="AW66" s="35"/>
      <x:c r="AX66" s="35"/>
      <x:c r="AY66" s="35"/>
      <x:c r="AZ66" s="35"/>
      <x:c r="BA66" s="35"/>
      <x:c r="BB66" s="35"/>
      <x:c r="BC66" s="35"/>
      <x:c r="BD66" s="35"/>
      <x:c r="BE66" s="31"/>
      <x:c r="BF66" s="31"/>
    </x:row>
    <x:row r="67">
      <x:c r="A67" s="31"/>
      <x:c r="B67" s="31"/>
      <x:c r="C67" s="33" t="str">
        <x:f>AH67</x:f>
        <x:v>À rechercher</x:v>
      </x:c>
      <x:c r="D67" s="31"/>
      <x:c r="E67" s="31"/>
      <x:c r="F67" s="31"/>
      <x:c r="G67" s="31"/>
      <x:c r="H67" s="31"/>
      <x:c r="I67" s="31"/>
      <x:c r="J67" s="37"/>
      <x:c r="K67" s="31"/>
      <x:c r="L67" s="31"/>
      <x:c r="M67" s="31"/>
      <x:c r="N67" s="31"/>
      <x:c r="O67" s="31"/>
      <x:c r="P67" s="31"/>
      <x:c r="Q67" s="31"/>
      <x:c r="R67" s="31"/>
      <x:c r="S67" s="35"/>
      <x:c r="T67" s="35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9" t="n">
        <x:f>COUNT(V67:AE67)</x:f>
        <x:v>0</x:v>
      </x:c>
      <x:c r="AG67" s="39" t="str">
        <x:f>IF(AF67&gt;=7,SUM(V67:AE67),"")</x:f>
      </x:c>
      <x:c r="AH67" s="33" t="str">
        <x:f>IF(AF67&lt;7,"À rechercher",IF(AG67&gt;=75,"P1",IF(AG67&gt;=60,"P2",IF(AG67&gt;=45,"P3","Faible priorité"))))</x:f>
        <x:v>À rechercher</x:v>
      </x:c>
      <x:c r="AI67" s="31"/>
      <x:c r="AJ67" s="31"/>
      <x:c r="AK67" s="35"/>
      <x:c r="AL67" s="31"/>
      <x:c r="AM67" s="31"/>
      <x:c r="AN67" s="31"/>
      <x:c r="AO67" s="31"/>
      <x:c r="AP67" s="31"/>
      <x:c r="AQ67" s="35"/>
      <x:c r="AR67" s="31"/>
      <x:c r="AS67" s="35"/>
      <x:c r="AT67" s="31"/>
      <x:c r="AU67" s="35"/>
      <x:c r="AV67" s="35"/>
      <x:c r="AW67" s="35"/>
      <x:c r="AX67" s="35"/>
      <x:c r="AY67" s="35"/>
      <x:c r="AZ67" s="35"/>
      <x:c r="BA67" s="35"/>
      <x:c r="BB67" s="35"/>
      <x:c r="BC67" s="35"/>
      <x:c r="BD67" s="35"/>
      <x:c r="BE67" s="31"/>
      <x:c r="BF67" s="31"/>
    </x:row>
    <x:row r="68">
      <x:c r="A68" s="31"/>
      <x:c r="B68" s="31"/>
      <x:c r="C68" s="33" t="str">
        <x:f>AH68</x:f>
        <x:v>À rechercher</x:v>
      </x:c>
      <x:c r="D68" s="31"/>
      <x:c r="E68" s="31"/>
      <x:c r="F68" s="31"/>
      <x:c r="G68" s="31"/>
      <x:c r="H68" s="31"/>
      <x:c r="I68" s="31"/>
      <x:c r="J68" s="37"/>
      <x:c r="K68" s="31"/>
      <x:c r="L68" s="31"/>
      <x:c r="M68" s="31"/>
      <x:c r="N68" s="31"/>
      <x:c r="O68" s="31"/>
      <x:c r="P68" s="31"/>
      <x:c r="Q68" s="31"/>
      <x:c r="R68" s="31"/>
      <x:c r="S68" s="35"/>
      <x:c r="T68" s="35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9" t="n">
        <x:f>COUNT(V68:AE68)</x:f>
        <x:v>0</x:v>
      </x:c>
      <x:c r="AG68" s="39" t="str">
        <x:f>IF(AF68&gt;=7,SUM(V68:AE68),"")</x:f>
      </x:c>
      <x:c r="AH68" s="33" t="str">
        <x:f>IF(AF68&lt;7,"À rechercher",IF(AG68&gt;=75,"P1",IF(AG68&gt;=60,"P2",IF(AG68&gt;=45,"P3","Faible priorité"))))</x:f>
        <x:v>À rechercher</x:v>
      </x:c>
      <x:c r="AI68" s="31"/>
      <x:c r="AJ68" s="31"/>
      <x:c r="AK68" s="35"/>
      <x:c r="AL68" s="31"/>
      <x:c r="AM68" s="31"/>
      <x:c r="AN68" s="31"/>
      <x:c r="AO68" s="31"/>
      <x:c r="AP68" s="31"/>
      <x:c r="AQ68" s="35"/>
      <x:c r="AR68" s="31"/>
      <x:c r="AS68" s="35"/>
      <x:c r="AT68" s="31"/>
      <x:c r="AU68" s="35"/>
      <x:c r="AV68" s="35"/>
      <x:c r="AW68" s="35"/>
      <x:c r="AX68" s="35"/>
      <x:c r="AY68" s="35"/>
      <x:c r="AZ68" s="35"/>
      <x:c r="BA68" s="35"/>
      <x:c r="BB68" s="35"/>
      <x:c r="BC68" s="35"/>
      <x:c r="BD68" s="35"/>
      <x:c r="BE68" s="31"/>
      <x:c r="BF68" s="31"/>
    </x:row>
    <x:row r="69">
      <x:c r="A69" s="31"/>
      <x:c r="B69" s="31"/>
      <x:c r="C69" s="33" t="str">
        <x:f>AH69</x:f>
        <x:v>À rechercher</x:v>
      </x:c>
      <x:c r="D69" s="31"/>
      <x:c r="E69" s="31"/>
      <x:c r="F69" s="31"/>
      <x:c r="G69" s="31"/>
      <x:c r="H69" s="31"/>
      <x:c r="I69" s="31"/>
      <x:c r="J69" s="37"/>
      <x:c r="K69" s="31"/>
      <x:c r="L69" s="31"/>
      <x:c r="M69" s="31"/>
      <x:c r="N69" s="31"/>
      <x:c r="O69" s="31"/>
      <x:c r="P69" s="31"/>
      <x:c r="Q69" s="31"/>
      <x:c r="R69" s="31"/>
      <x:c r="S69" s="35"/>
      <x:c r="T69" s="35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9" t="n">
        <x:f>COUNT(V69:AE69)</x:f>
        <x:v>0</x:v>
      </x:c>
      <x:c r="AG69" s="39" t="str">
        <x:f>IF(AF69&gt;=7,SUM(V69:AE69),"")</x:f>
      </x:c>
      <x:c r="AH69" s="33" t="str">
        <x:f>IF(AF69&lt;7,"À rechercher",IF(AG69&gt;=75,"P1",IF(AG69&gt;=60,"P2",IF(AG69&gt;=45,"P3","Faible priorité"))))</x:f>
        <x:v>À rechercher</x:v>
      </x:c>
      <x:c r="AI69" s="31"/>
      <x:c r="AJ69" s="31"/>
      <x:c r="AK69" s="35"/>
      <x:c r="AL69" s="31"/>
      <x:c r="AM69" s="31"/>
      <x:c r="AN69" s="31"/>
      <x:c r="AO69" s="31"/>
      <x:c r="AP69" s="31"/>
      <x:c r="AQ69" s="35"/>
      <x:c r="AR69" s="31"/>
      <x:c r="AS69" s="35"/>
      <x:c r="AT69" s="31"/>
      <x:c r="AU69" s="35"/>
      <x:c r="AV69" s="35"/>
      <x:c r="AW69" s="35"/>
      <x:c r="AX69" s="35"/>
      <x:c r="AY69" s="35"/>
      <x:c r="AZ69" s="35"/>
      <x:c r="BA69" s="35"/>
      <x:c r="BB69" s="35"/>
      <x:c r="BC69" s="35"/>
      <x:c r="BD69" s="35"/>
      <x:c r="BE69" s="31"/>
      <x:c r="BF69" s="31"/>
    </x:row>
    <x:row r="70">
      <x:c r="A70" s="31"/>
      <x:c r="B70" s="31"/>
      <x:c r="C70" s="33" t="str">
        <x:f>AH70</x:f>
        <x:v>À rechercher</x:v>
      </x:c>
      <x:c r="D70" s="31"/>
      <x:c r="E70" s="31"/>
      <x:c r="F70" s="31"/>
      <x:c r="G70" s="31"/>
      <x:c r="H70" s="31"/>
      <x:c r="I70" s="31"/>
      <x:c r="J70" s="37"/>
      <x:c r="K70" s="31"/>
      <x:c r="L70" s="31"/>
      <x:c r="M70" s="31"/>
      <x:c r="N70" s="31"/>
      <x:c r="O70" s="31"/>
      <x:c r="P70" s="31"/>
      <x:c r="Q70" s="31"/>
      <x:c r="R70" s="31"/>
      <x:c r="S70" s="35"/>
      <x:c r="T70" s="35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9" t="n">
        <x:f>COUNT(V70:AE70)</x:f>
        <x:v>0</x:v>
      </x:c>
      <x:c r="AG70" s="39" t="str">
        <x:f>IF(AF70&gt;=7,SUM(V70:AE70),"")</x:f>
      </x:c>
      <x:c r="AH70" s="33" t="str">
        <x:f>IF(AF70&lt;7,"À rechercher",IF(AG70&gt;=75,"P1",IF(AG70&gt;=60,"P2",IF(AG70&gt;=45,"P3","Faible priorité"))))</x:f>
        <x:v>À rechercher</x:v>
      </x:c>
      <x:c r="AI70" s="31"/>
      <x:c r="AJ70" s="31"/>
      <x:c r="AK70" s="35"/>
      <x:c r="AL70" s="31"/>
      <x:c r="AM70" s="31"/>
      <x:c r="AN70" s="31"/>
      <x:c r="AO70" s="31"/>
      <x:c r="AP70" s="31"/>
      <x:c r="AQ70" s="35"/>
      <x:c r="AR70" s="31"/>
      <x:c r="AS70" s="35"/>
      <x:c r="AT70" s="31"/>
      <x:c r="AU70" s="35"/>
      <x:c r="AV70" s="35"/>
      <x:c r="AW70" s="35"/>
      <x:c r="AX70" s="35"/>
      <x:c r="AY70" s="35"/>
      <x:c r="AZ70" s="35"/>
      <x:c r="BA70" s="35"/>
      <x:c r="BB70" s="35"/>
      <x:c r="BC70" s="35"/>
      <x:c r="BD70" s="35"/>
      <x:c r="BE70" s="31"/>
      <x:c r="BF70" s="31"/>
    </x:row>
    <x:row r="71">
      <x:c r="A71" s="31"/>
      <x:c r="B71" s="31"/>
      <x:c r="C71" s="33" t="str">
        <x:f>AH71</x:f>
        <x:v>À rechercher</x:v>
      </x:c>
      <x:c r="D71" s="31"/>
      <x:c r="E71" s="31"/>
      <x:c r="F71" s="31"/>
      <x:c r="G71" s="31"/>
      <x:c r="H71" s="31"/>
      <x:c r="I71" s="31"/>
      <x:c r="J71" s="37"/>
      <x:c r="K71" s="31"/>
      <x:c r="L71" s="31"/>
      <x:c r="M71" s="31"/>
      <x:c r="N71" s="31"/>
      <x:c r="O71" s="31"/>
      <x:c r="P71" s="31"/>
      <x:c r="Q71" s="31"/>
      <x:c r="R71" s="31"/>
      <x:c r="S71" s="35"/>
      <x:c r="T71" s="35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9" t="n">
        <x:f>COUNT(V71:AE71)</x:f>
        <x:v>0</x:v>
      </x:c>
      <x:c r="AG71" s="39" t="str">
        <x:f>IF(AF71&gt;=7,SUM(V71:AE71),"")</x:f>
      </x:c>
      <x:c r="AH71" s="33" t="str">
        <x:f>IF(AF71&lt;7,"À rechercher",IF(AG71&gt;=75,"P1",IF(AG71&gt;=60,"P2",IF(AG71&gt;=45,"P3","Faible priorité"))))</x:f>
        <x:v>À rechercher</x:v>
      </x:c>
      <x:c r="AI71" s="31"/>
      <x:c r="AJ71" s="31"/>
      <x:c r="AK71" s="35"/>
      <x:c r="AL71" s="31"/>
      <x:c r="AM71" s="31"/>
      <x:c r="AN71" s="31"/>
      <x:c r="AO71" s="31"/>
      <x:c r="AP71" s="31"/>
      <x:c r="AQ71" s="35"/>
      <x:c r="AR71" s="31"/>
      <x:c r="AS71" s="35"/>
      <x:c r="AT71" s="31"/>
      <x:c r="AU71" s="35"/>
      <x:c r="AV71" s="35"/>
      <x:c r="AW71" s="35"/>
      <x:c r="AX71" s="35"/>
      <x:c r="AY71" s="35"/>
      <x:c r="AZ71" s="35"/>
      <x:c r="BA71" s="35"/>
      <x:c r="BB71" s="35"/>
      <x:c r="BC71" s="35"/>
      <x:c r="BD71" s="35"/>
      <x:c r="BE71" s="31"/>
      <x:c r="BF71" s="31"/>
    </x:row>
    <x:row r="72">
      <x:c r="A72" s="31"/>
      <x:c r="B72" s="31"/>
      <x:c r="C72" s="33" t="str">
        <x:f>AH72</x:f>
        <x:v>À rechercher</x:v>
      </x:c>
      <x:c r="D72" s="31"/>
      <x:c r="E72" s="31"/>
      <x:c r="F72" s="31"/>
      <x:c r="G72" s="31"/>
      <x:c r="H72" s="31"/>
      <x:c r="I72" s="31"/>
      <x:c r="J72" s="37"/>
      <x:c r="K72" s="31"/>
      <x:c r="L72" s="31"/>
      <x:c r="M72" s="31"/>
      <x:c r="N72" s="31"/>
      <x:c r="O72" s="31"/>
      <x:c r="P72" s="31"/>
      <x:c r="Q72" s="31"/>
      <x:c r="R72" s="31"/>
      <x:c r="S72" s="35"/>
      <x:c r="T72" s="35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9" t="n">
        <x:f>COUNT(V72:AE72)</x:f>
        <x:v>0</x:v>
      </x:c>
      <x:c r="AG72" s="39" t="str">
        <x:f>IF(AF72&gt;=7,SUM(V72:AE72),"")</x:f>
      </x:c>
      <x:c r="AH72" s="33" t="str">
        <x:f>IF(AF72&lt;7,"À rechercher",IF(AG72&gt;=75,"P1",IF(AG72&gt;=60,"P2",IF(AG72&gt;=45,"P3","Faible priorité"))))</x:f>
        <x:v>À rechercher</x:v>
      </x:c>
      <x:c r="AI72" s="31"/>
      <x:c r="AJ72" s="31"/>
      <x:c r="AK72" s="35"/>
      <x:c r="AL72" s="31"/>
      <x:c r="AM72" s="31"/>
      <x:c r="AN72" s="31"/>
      <x:c r="AO72" s="31"/>
      <x:c r="AP72" s="31"/>
      <x:c r="AQ72" s="35"/>
      <x:c r="AR72" s="31"/>
      <x:c r="AS72" s="35"/>
      <x:c r="AT72" s="31"/>
      <x:c r="AU72" s="35"/>
      <x:c r="AV72" s="35"/>
      <x:c r="AW72" s="35"/>
      <x:c r="AX72" s="35"/>
      <x:c r="AY72" s="35"/>
      <x:c r="AZ72" s="35"/>
      <x:c r="BA72" s="35"/>
      <x:c r="BB72" s="35"/>
      <x:c r="BC72" s="35"/>
      <x:c r="BD72" s="35"/>
      <x:c r="BE72" s="31"/>
      <x:c r="BF72" s="31"/>
    </x:row>
    <x:row r="73">
      <x:c r="A73" s="31"/>
      <x:c r="B73" s="31"/>
      <x:c r="C73" s="33" t="str">
        <x:f>AH73</x:f>
        <x:v>À rechercher</x:v>
      </x:c>
      <x:c r="D73" s="31"/>
      <x:c r="E73" s="31"/>
      <x:c r="F73" s="31"/>
      <x:c r="G73" s="31"/>
      <x:c r="H73" s="31"/>
      <x:c r="I73" s="31"/>
      <x:c r="J73" s="37"/>
      <x:c r="K73" s="31"/>
      <x:c r="L73" s="31"/>
      <x:c r="M73" s="31"/>
      <x:c r="N73" s="31"/>
      <x:c r="O73" s="31"/>
      <x:c r="P73" s="31"/>
      <x:c r="Q73" s="31"/>
      <x:c r="R73" s="31"/>
      <x:c r="S73" s="35"/>
      <x:c r="T73" s="35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9" t="n">
        <x:f>COUNT(V73:AE73)</x:f>
        <x:v>0</x:v>
      </x:c>
      <x:c r="AG73" s="39" t="str">
        <x:f>IF(AF73&gt;=7,SUM(V73:AE73),"")</x:f>
      </x:c>
      <x:c r="AH73" s="33" t="str">
        <x:f>IF(AF73&lt;7,"À rechercher",IF(AG73&gt;=75,"P1",IF(AG73&gt;=60,"P2",IF(AG73&gt;=45,"P3","Faible priorité"))))</x:f>
        <x:v>À rechercher</x:v>
      </x:c>
      <x:c r="AI73" s="31"/>
      <x:c r="AJ73" s="31"/>
      <x:c r="AK73" s="35"/>
      <x:c r="AL73" s="31"/>
      <x:c r="AM73" s="31"/>
      <x:c r="AN73" s="31"/>
      <x:c r="AO73" s="31"/>
      <x:c r="AP73" s="31"/>
      <x:c r="AQ73" s="35"/>
      <x:c r="AR73" s="31"/>
      <x:c r="AS73" s="35"/>
      <x:c r="AT73" s="31"/>
      <x:c r="AU73" s="35"/>
      <x:c r="AV73" s="35"/>
      <x:c r="AW73" s="35"/>
      <x:c r="AX73" s="35"/>
      <x:c r="AY73" s="35"/>
      <x:c r="AZ73" s="35"/>
      <x:c r="BA73" s="35"/>
      <x:c r="BB73" s="35"/>
      <x:c r="BC73" s="35"/>
      <x:c r="BD73" s="35"/>
      <x:c r="BE73" s="31"/>
      <x:c r="BF73" s="31"/>
    </x:row>
    <x:row r="74">
      <x:c r="A74" s="31"/>
      <x:c r="B74" s="31"/>
      <x:c r="C74" s="33" t="str">
        <x:f>AH74</x:f>
        <x:v>À rechercher</x:v>
      </x:c>
      <x:c r="D74" s="31"/>
      <x:c r="E74" s="31"/>
      <x:c r="F74" s="31"/>
      <x:c r="G74" s="31"/>
      <x:c r="H74" s="31"/>
      <x:c r="I74" s="31"/>
      <x:c r="J74" s="37"/>
      <x:c r="K74" s="31"/>
      <x:c r="L74" s="31"/>
      <x:c r="M74" s="31"/>
      <x:c r="N74" s="31"/>
      <x:c r="O74" s="31"/>
      <x:c r="P74" s="31"/>
      <x:c r="Q74" s="31"/>
      <x:c r="R74" s="31"/>
      <x:c r="S74" s="35"/>
      <x:c r="T74" s="35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9" t="n">
        <x:f>COUNT(V74:AE74)</x:f>
        <x:v>0</x:v>
      </x:c>
      <x:c r="AG74" s="39" t="str">
        <x:f>IF(AF74&gt;=7,SUM(V74:AE74),"")</x:f>
      </x:c>
      <x:c r="AH74" s="33" t="str">
        <x:f>IF(AF74&lt;7,"À rechercher",IF(AG74&gt;=75,"P1",IF(AG74&gt;=60,"P2",IF(AG74&gt;=45,"P3","Faible priorité"))))</x:f>
        <x:v>À rechercher</x:v>
      </x:c>
      <x:c r="AI74" s="31"/>
      <x:c r="AJ74" s="31"/>
      <x:c r="AK74" s="35"/>
      <x:c r="AL74" s="31"/>
      <x:c r="AM74" s="31"/>
      <x:c r="AN74" s="31"/>
      <x:c r="AO74" s="31"/>
      <x:c r="AP74" s="31"/>
      <x:c r="AQ74" s="35"/>
      <x:c r="AR74" s="31"/>
      <x:c r="AS74" s="35"/>
      <x:c r="AT74" s="31"/>
      <x:c r="AU74" s="35"/>
      <x:c r="AV74" s="35"/>
      <x:c r="AW74" s="35"/>
      <x:c r="AX74" s="35"/>
      <x:c r="AY74" s="35"/>
      <x:c r="AZ74" s="35"/>
      <x:c r="BA74" s="35"/>
      <x:c r="BB74" s="35"/>
      <x:c r="BC74" s="35"/>
      <x:c r="BD74" s="35"/>
      <x:c r="BE74" s="31"/>
      <x:c r="BF74" s="31"/>
    </x:row>
    <x:row r="75">
      <x:c r="A75" s="31"/>
      <x:c r="B75" s="31"/>
      <x:c r="C75" s="33" t="str">
        <x:f>AH75</x:f>
        <x:v>À rechercher</x:v>
      </x:c>
      <x:c r="D75" s="31"/>
      <x:c r="E75" s="31"/>
      <x:c r="F75" s="31"/>
      <x:c r="G75" s="31"/>
      <x:c r="H75" s="31"/>
      <x:c r="I75" s="31"/>
      <x:c r="J75" s="37"/>
      <x:c r="K75" s="31"/>
      <x:c r="L75" s="31"/>
      <x:c r="M75" s="31"/>
      <x:c r="N75" s="31"/>
      <x:c r="O75" s="31"/>
      <x:c r="P75" s="31"/>
      <x:c r="Q75" s="31"/>
      <x:c r="R75" s="31"/>
      <x:c r="S75" s="35"/>
      <x:c r="T75" s="35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9" t="n">
        <x:f>COUNT(V75:AE75)</x:f>
        <x:v>0</x:v>
      </x:c>
      <x:c r="AG75" s="39" t="str">
        <x:f>IF(AF75&gt;=7,SUM(V75:AE75),"")</x:f>
      </x:c>
      <x:c r="AH75" s="33" t="str">
        <x:f>IF(AF75&lt;7,"À rechercher",IF(AG75&gt;=75,"P1",IF(AG75&gt;=60,"P2",IF(AG75&gt;=45,"P3","Faible priorité"))))</x:f>
        <x:v>À rechercher</x:v>
      </x:c>
      <x:c r="AI75" s="31"/>
      <x:c r="AJ75" s="31"/>
      <x:c r="AK75" s="35"/>
      <x:c r="AL75" s="31"/>
      <x:c r="AM75" s="31"/>
      <x:c r="AN75" s="31"/>
      <x:c r="AO75" s="31"/>
      <x:c r="AP75" s="31"/>
      <x:c r="AQ75" s="35"/>
      <x:c r="AR75" s="31"/>
      <x:c r="AS75" s="35"/>
      <x:c r="AT75" s="31"/>
      <x:c r="AU75" s="35"/>
      <x:c r="AV75" s="35"/>
      <x:c r="AW75" s="35"/>
      <x:c r="AX75" s="35"/>
      <x:c r="AY75" s="35"/>
      <x:c r="AZ75" s="35"/>
      <x:c r="BA75" s="35"/>
      <x:c r="BB75" s="35"/>
      <x:c r="BC75" s="35"/>
      <x:c r="BD75" s="35"/>
      <x:c r="BE75" s="31"/>
      <x:c r="BF75" s="31"/>
    </x:row>
    <x:row r="76">
      <x:c r="A76" s="31"/>
      <x:c r="B76" s="31"/>
      <x:c r="C76" s="33" t="str">
        <x:f>AH76</x:f>
        <x:v>À rechercher</x:v>
      </x:c>
      <x:c r="D76" s="31"/>
      <x:c r="E76" s="31"/>
      <x:c r="F76" s="31"/>
      <x:c r="G76" s="31"/>
      <x:c r="H76" s="31"/>
      <x:c r="I76" s="31"/>
      <x:c r="J76" s="37"/>
      <x:c r="K76" s="31"/>
      <x:c r="L76" s="31"/>
      <x:c r="M76" s="31"/>
      <x:c r="N76" s="31"/>
      <x:c r="O76" s="31"/>
      <x:c r="P76" s="31"/>
      <x:c r="Q76" s="31"/>
      <x:c r="R76" s="31"/>
      <x:c r="S76" s="35"/>
      <x:c r="T76" s="35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9" t="n">
        <x:f>COUNT(V76:AE76)</x:f>
        <x:v>0</x:v>
      </x:c>
      <x:c r="AG76" s="39" t="str">
        <x:f>IF(AF76&gt;=7,SUM(V76:AE76),"")</x:f>
      </x:c>
      <x:c r="AH76" s="33" t="str">
        <x:f>IF(AF76&lt;7,"À rechercher",IF(AG76&gt;=75,"P1",IF(AG76&gt;=60,"P2",IF(AG76&gt;=45,"P3","Faible priorité"))))</x:f>
        <x:v>À rechercher</x:v>
      </x:c>
      <x:c r="AI76" s="31"/>
      <x:c r="AJ76" s="31"/>
      <x:c r="AK76" s="35"/>
      <x:c r="AL76" s="31"/>
      <x:c r="AM76" s="31"/>
      <x:c r="AN76" s="31"/>
      <x:c r="AO76" s="31"/>
      <x:c r="AP76" s="31"/>
      <x:c r="AQ76" s="35"/>
      <x:c r="AR76" s="31"/>
      <x:c r="AS76" s="35"/>
      <x:c r="AT76" s="31"/>
      <x:c r="AU76" s="35"/>
      <x:c r="AV76" s="35"/>
      <x:c r="AW76" s="35"/>
      <x:c r="AX76" s="35"/>
      <x:c r="AY76" s="35"/>
      <x:c r="AZ76" s="35"/>
      <x:c r="BA76" s="35"/>
      <x:c r="BB76" s="35"/>
      <x:c r="BC76" s="35"/>
      <x:c r="BD76" s="35"/>
      <x:c r="BE76" s="31"/>
      <x:c r="BF76" s="31"/>
    </x:row>
    <x:row r="77">
      <x:c r="A77" s="31"/>
      <x:c r="B77" s="31"/>
      <x:c r="C77" s="33" t="str">
        <x:f>AH77</x:f>
        <x:v>À rechercher</x:v>
      </x:c>
      <x:c r="D77" s="31"/>
      <x:c r="E77" s="31"/>
      <x:c r="F77" s="31"/>
      <x:c r="G77" s="31"/>
      <x:c r="H77" s="31"/>
      <x:c r="I77" s="31"/>
      <x:c r="J77" s="37"/>
      <x:c r="K77" s="31"/>
      <x:c r="L77" s="31"/>
      <x:c r="M77" s="31"/>
      <x:c r="N77" s="31"/>
      <x:c r="O77" s="31"/>
      <x:c r="P77" s="31"/>
      <x:c r="Q77" s="31"/>
      <x:c r="R77" s="31"/>
      <x:c r="S77" s="35"/>
      <x:c r="T77" s="35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9" t="n">
        <x:f>COUNT(V77:AE77)</x:f>
        <x:v>0</x:v>
      </x:c>
      <x:c r="AG77" s="39" t="str">
        <x:f>IF(AF77&gt;=7,SUM(V77:AE77),"")</x:f>
      </x:c>
      <x:c r="AH77" s="33" t="str">
        <x:f>IF(AF77&lt;7,"À rechercher",IF(AG77&gt;=75,"P1",IF(AG77&gt;=60,"P2",IF(AG77&gt;=45,"P3","Faible priorité"))))</x:f>
        <x:v>À rechercher</x:v>
      </x:c>
      <x:c r="AI77" s="31"/>
      <x:c r="AJ77" s="31"/>
      <x:c r="AK77" s="35"/>
      <x:c r="AL77" s="31"/>
      <x:c r="AM77" s="31"/>
      <x:c r="AN77" s="31"/>
      <x:c r="AO77" s="31"/>
      <x:c r="AP77" s="31"/>
      <x:c r="AQ77" s="35"/>
      <x:c r="AR77" s="31"/>
      <x:c r="AS77" s="35"/>
      <x:c r="AT77" s="31"/>
      <x:c r="AU77" s="35"/>
      <x:c r="AV77" s="35"/>
      <x:c r="AW77" s="35"/>
      <x:c r="AX77" s="35"/>
      <x:c r="AY77" s="35"/>
      <x:c r="AZ77" s="35"/>
      <x:c r="BA77" s="35"/>
      <x:c r="BB77" s="35"/>
      <x:c r="BC77" s="35"/>
      <x:c r="BD77" s="35"/>
      <x:c r="BE77" s="31"/>
      <x:c r="BF77" s="31"/>
    </x:row>
    <x:row r="78">
      <x:c r="A78" s="31"/>
      <x:c r="B78" s="31"/>
      <x:c r="C78" s="33" t="str">
        <x:f>AH78</x:f>
        <x:v>À rechercher</x:v>
      </x:c>
      <x:c r="D78" s="31"/>
      <x:c r="E78" s="31"/>
      <x:c r="F78" s="31"/>
      <x:c r="G78" s="31"/>
      <x:c r="H78" s="31"/>
      <x:c r="I78" s="31"/>
      <x:c r="J78" s="37"/>
      <x:c r="K78" s="31"/>
      <x:c r="L78" s="31"/>
      <x:c r="M78" s="31"/>
      <x:c r="N78" s="31"/>
      <x:c r="O78" s="31"/>
      <x:c r="P78" s="31"/>
      <x:c r="Q78" s="31"/>
      <x:c r="R78" s="31"/>
      <x:c r="S78" s="35"/>
      <x:c r="T78" s="35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9" t="n">
        <x:f>COUNT(V78:AE78)</x:f>
        <x:v>0</x:v>
      </x:c>
      <x:c r="AG78" s="39" t="str">
        <x:f>IF(AF78&gt;=7,SUM(V78:AE78),"")</x:f>
      </x:c>
      <x:c r="AH78" s="33" t="str">
        <x:f>IF(AF78&lt;7,"À rechercher",IF(AG78&gt;=75,"P1",IF(AG78&gt;=60,"P2",IF(AG78&gt;=45,"P3","Faible priorité"))))</x:f>
        <x:v>À rechercher</x:v>
      </x:c>
      <x:c r="AI78" s="31"/>
      <x:c r="AJ78" s="31"/>
      <x:c r="AK78" s="35"/>
      <x:c r="AL78" s="31"/>
      <x:c r="AM78" s="31"/>
      <x:c r="AN78" s="31"/>
      <x:c r="AO78" s="31"/>
      <x:c r="AP78" s="31"/>
      <x:c r="AQ78" s="35"/>
      <x:c r="AR78" s="31"/>
      <x:c r="AS78" s="35"/>
      <x:c r="AT78" s="31"/>
      <x:c r="AU78" s="35"/>
      <x:c r="AV78" s="35"/>
      <x:c r="AW78" s="35"/>
      <x:c r="AX78" s="35"/>
      <x:c r="AY78" s="35"/>
      <x:c r="AZ78" s="35"/>
      <x:c r="BA78" s="35"/>
      <x:c r="BB78" s="35"/>
      <x:c r="BC78" s="35"/>
      <x:c r="BD78" s="35"/>
      <x:c r="BE78" s="31"/>
      <x:c r="BF78" s="31"/>
    </x:row>
    <x:row r="79">
      <x:c r="A79" s="31"/>
      <x:c r="B79" s="31"/>
      <x:c r="C79" s="33" t="str">
        <x:f>AH79</x:f>
        <x:v>À rechercher</x:v>
      </x:c>
      <x:c r="D79" s="31"/>
      <x:c r="E79" s="31"/>
      <x:c r="F79" s="31"/>
      <x:c r="G79" s="31"/>
      <x:c r="H79" s="31"/>
      <x:c r="I79" s="31"/>
      <x:c r="J79" s="37"/>
      <x:c r="K79" s="31"/>
      <x:c r="L79" s="31"/>
      <x:c r="M79" s="31"/>
      <x:c r="N79" s="31"/>
      <x:c r="O79" s="31"/>
      <x:c r="P79" s="31"/>
      <x:c r="Q79" s="31"/>
      <x:c r="R79" s="31"/>
      <x:c r="S79" s="35"/>
      <x:c r="T79" s="35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9" t="n">
        <x:f>COUNT(V79:AE79)</x:f>
        <x:v>0</x:v>
      </x:c>
      <x:c r="AG79" s="39" t="str">
        <x:f>IF(AF79&gt;=7,SUM(V79:AE79),"")</x:f>
      </x:c>
      <x:c r="AH79" s="33" t="str">
        <x:f>IF(AF79&lt;7,"À rechercher",IF(AG79&gt;=75,"P1",IF(AG79&gt;=60,"P2",IF(AG79&gt;=45,"P3","Faible priorité"))))</x:f>
        <x:v>À rechercher</x:v>
      </x:c>
      <x:c r="AI79" s="31"/>
      <x:c r="AJ79" s="31"/>
      <x:c r="AK79" s="35"/>
      <x:c r="AL79" s="31"/>
      <x:c r="AM79" s="31"/>
      <x:c r="AN79" s="31"/>
      <x:c r="AO79" s="31"/>
      <x:c r="AP79" s="31"/>
      <x:c r="AQ79" s="35"/>
      <x:c r="AR79" s="31"/>
      <x:c r="AS79" s="35"/>
      <x:c r="AT79" s="31"/>
      <x:c r="AU79" s="35"/>
      <x:c r="AV79" s="35"/>
      <x:c r="AW79" s="35"/>
      <x:c r="AX79" s="35"/>
      <x:c r="AY79" s="35"/>
      <x:c r="AZ79" s="35"/>
      <x:c r="BA79" s="35"/>
      <x:c r="BB79" s="35"/>
      <x:c r="BC79" s="35"/>
      <x:c r="BD79" s="35"/>
      <x:c r="BE79" s="31"/>
      <x:c r="BF79" s="31"/>
    </x:row>
    <x:row r="80">
      <x:c r="A80" s="31"/>
      <x:c r="B80" s="31"/>
      <x:c r="C80" s="33" t="str">
        <x:f>AH80</x:f>
        <x:v>À rechercher</x:v>
      </x:c>
      <x:c r="D80" s="31"/>
      <x:c r="E80" s="31"/>
      <x:c r="F80" s="31"/>
      <x:c r="G80" s="31"/>
      <x:c r="H80" s="31"/>
      <x:c r="I80" s="31"/>
      <x:c r="J80" s="37"/>
      <x:c r="K80" s="31"/>
      <x:c r="L80" s="31"/>
      <x:c r="M80" s="31"/>
      <x:c r="N80" s="31"/>
      <x:c r="O80" s="31"/>
      <x:c r="P80" s="31"/>
      <x:c r="Q80" s="31"/>
      <x:c r="R80" s="31"/>
      <x:c r="S80" s="35"/>
      <x:c r="T80" s="35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9" t="n">
        <x:f>COUNT(V80:AE80)</x:f>
        <x:v>0</x:v>
      </x:c>
      <x:c r="AG80" s="39" t="str">
        <x:f>IF(AF80&gt;=7,SUM(V80:AE80),"")</x:f>
      </x:c>
      <x:c r="AH80" s="33" t="str">
        <x:f>IF(AF80&lt;7,"À rechercher",IF(AG80&gt;=75,"P1",IF(AG80&gt;=60,"P2",IF(AG80&gt;=45,"P3","Faible priorité"))))</x:f>
        <x:v>À rechercher</x:v>
      </x:c>
      <x:c r="AI80" s="31"/>
      <x:c r="AJ80" s="31"/>
      <x:c r="AK80" s="35"/>
      <x:c r="AL80" s="31"/>
      <x:c r="AM80" s="31"/>
      <x:c r="AN80" s="31"/>
      <x:c r="AO80" s="31"/>
      <x:c r="AP80" s="31"/>
      <x:c r="AQ80" s="35"/>
      <x:c r="AR80" s="31"/>
      <x:c r="AS80" s="35"/>
      <x:c r="AT80" s="31"/>
      <x:c r="AU80" s="35"/>
      <x:c r="AV80" s="35"/>
      <x:c r="AW80" s="35"/>
      <x:c r="AX80" s="35"/>
      <x:c r="AY80" s="35"/>
      <x:c r="AZ80" s="35"/>
      <x:c r="BA80" s="35"/>
      <x:c r="BB80" s="35"/>
      <x:c r="BC80" s="35"/>
      <x:c r="BD80" s="35"/>
      <x:c r="BE80" s="31"/>
      <x:c r="BF80" s="31"/>
    </x:row>
    <x:row r="81">
      <x:c r="A81" s="31"/>
      <x:c r="B81" s="31"/>
      <x:c r="C81" s="33" t="str">
        <x:f>AH81</x:f>
        <x:v>À rechercher</x:v>
      </x:c>
      <x:c r="D81" s="31"/>
      <x:c r="E81" s="31"/>
      <x:c r="F81" s="31"/>
      <x:c r="G81" s="31"/>
      <x:c r="H81" s="31"/>
      <x:c r="I81" s="31"/>
      <x:c r="J81" s="37"/>
      <x:c r="K81" s="31"/>
      <x:c r="L81" s="31"/>
      <x:c r="M81" s="31"/>
      <x:c r="N81" s="31"/>
      <x:c r="O81" s="31"/>
      <x:c r="P81" s="31"/>
      <x:c r="Q81" s="31"/>
      <x:c r="R81" s="31"/>
      <x:c r="S81" s="35"/>
      <x:c r="T81" s="35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9" t="n">
        <x:f>COUNT(V81:AE81)</x:f>
        <x:v>0</x:v>
      </x:c>
      <x:c r="AG81" s="39" t="str">
        <x:f>IF(AF81&gt;=7,SUM(V81:AE81),"")</x:f>
      </x:c>
      <x:c r="AH81" s="33" t="str">
        <x:f>IF(AF81&lt;7,"À rechercher",IF(AG81&gt;=75,"P1",IF(AG81&gt;=60,"P2",IF(AG81&gt;=45,"P3","Faible priorité"))))</x:f>
        <x:v>À rechercher</x:v>
      </x:c>
      <x:c r="AI81" s="31"/>
      <x:c r="AJ81" s="31"/>
      <x:c r="AK81" s="35"/>
      <x:c r="AL81" s="31"/>
      <x:c r="AM81" s="31"/>
      <x:c r="AN81" s="31"/>
      <x:c r="AO81" s="31"/>
      <x:c r="AP81" s="31"/>
      <x:c r="AQ81" s="35"/>
      <x:c r="AR81" s="31"/>
      <x:c r="AS81" s="35"/>
      <x:c r="AT81" s="31"/>
      <x:c r="AU81" s="35"/>
      <x:c r="AV81" s="35"/>
      <x:c r="AW81" s="35"/>
      <x:c r="AX81" s="35"/>
      <x:c r="AY81" s="35"/>
      <x:c r="AZ81" s="35"/>
      <x:c r="BA81" s="35"/>
      <x:c r="BB81" s="35"/>
      <x:c r="BC81" s="35"/>
      <x:c r="BD81" s="35"/>
      <x:c r="BE81" s="31"/>
      <x:c r="BF81" s="31"/>
    </x:row>
    <x:row r="82">
      <x:c r="A82" s="31"/>
      <x:c r="B82" s="31"/>
      <x:c r="C82" s="33" t="str">
        <x:f>AH82</x:f>
        <x:v>À rechercher</x:v>
      </x:c>
      <x:c r="D82" s="31"/>
      <x:c r="E82" s="31"/>
      <x:c r="F82" s="31"/>
      <x:c r="G82" s="31"/>
      <x:c r="H82" s="31"/>
      <x:c r="I82" s="31"/>
      <x:c r="J82" s="37"/>
      <x:c r="K82" s="31"/>
      <x:c r="L82" s="31"/>
      <x:c r="M82" s="31"/>
      <x:c r="N82" s="31"/>
      <x:c r="O82" s="31"/>
      <x:c r="P82" s="31"/>
      <x:c r="Q82" s="31"/>
      <x:c r="R82" s="31"/>
      <x:c r="S82" s="35"/>
      <x:c r="T82" s="35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9" t="n">
        <x:f>COUNT(V82:AE82)</x:f>
        <x:v>0</x:v>
      </x:c>
      <x:c r="AG82" s="39" t="str">
        <x:f>IF(AF82&gt;=7,SUM(V82:AE82),"")</x:f>
      </x:c>
      <x:c r="AH82" s="33" t="str">
        <x:f>IF(AF82&lt;7,"À rechercher",IF(AG82&gt;=75,"P1",IF(AG82&gt;=60,"P2",IF(AG82&gt;=45,"P3","Faible priorité"))))</x:f>
        <x:v>À rechercher</x:v>
      </x:c>
      <x:c r="AI82" s="31"/>
      <x:c r="AJ82" s="31"/>
      <x:c r="AK82" s="35"/>
      <x:c r="AL82" s="31"/>
      <x:c r="AM82" s="31"/>
      <x:c r="AN82" s="31"/>
      <x:c r="AO82" s="31"/>
      <x:c r="AP82" s="31"/>
      <x:c r="AQ82" s="35"/>
      <x:c r="AR82" s="31"/>
      <x:c r="AS82" s="35"/>
      <x:c r="AT82" s="31"/>
      <x:c r="AU82" s="35"/>
      <x:c r="AV82" s="35"/>
      <x:c r="AW82" s="35"/>
      <x:c r="AX82" s="35"/>
      <x:c r="AY82" s="35"/>
      <x:c r="AZ82" s="35"/>
      <x:c r="BA82" s="35"/>
      <x:c r="BB82" s="35"/>
      <x:c r="BC82" s="35"/>
      <x:c r="BD82" s="35"/>
      <x:c r="BE82" s="31"/>
      <x:c r="BF82" s="31"/>
    </x:row>
    <x:row r="83">
      <x:c r="A83" s="31"/>
      <x:c r="B83" s="31"/>
      <x:c r="C83" s="33" t="str">
        <x:f>AH83</x:f>
        <x:v>À rechercher</x:v>
      </x:c>
      <x:c r="D83" s="31"/>
      <x:c r="E83" s="31"/>
      <x:c r="F83" s="31"/>
      <x:c r="G83" s="31"/>
      <x:c r="H83" s="31"/>
      <x:c r="I83" s="31"/>
      <x:c r="J83" s="37"/>
      <x:c r="K83" s="31"/>
      <x:c r="L83" s="31"/>
      <x:c r="M83" s="31"/>
      <x:c r="N83" s="31"/>
      <x:c r="O83" s="31"/>
      <x:c r="P83" s="31"/>
      <x:c r="Q83" s="31"/>
      <x:c r="R83" s="31"/>
      <x:c r="S83" s="35"/>
      <x:c r="T83" s="35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9" t="n">
        <x:f>COUNT(V83:AE83)</x:f>
        <x:v>0</x:v>
      </x:c>
      <x:c r="AG83" s="39" t="str">
        <x:f>IF(AF83&gt;=7,SUM(V83:AE83),"")</x:f>
      </x:c>
      <x:c r="AH83" s="33" t="str">
        <x:f>IF(AF83&lt;7,"À rechercher",IF(AG83&gt;=75,"P1",IF(AG83&gt;=60,"P2",IF(AG83&gt;=45,"P3","Faible priorité"))))</x:f>
        <x:v>À rechercher</x:v>
      </x:c>
      <x:c r="AI83" s="31"/>
      <x:c r="AJ83" s="31"/>
      <x:c r="AK83" s="35"/>
      <x:c r="AL83" s="31"/>
      <x:c r="AM83" s="31"/>
      <x:c r="AN83" s="31"/>
      <x:c r="AO83" s="31"/>
      <x:c r="AP83" s="31"/>
      <x:c r="AQ83" s="35"/>
      <x:c r="AR83" s="31"/>
      <x:c r="AS83" s="35"/>
      <x:c r="AT83" s="31"/>
      <x:c r="AU83" s="35"/>
      <x:c r="AV83" s="35"/>
      <x:c r="AW83" s="35"/>
      <x:c r="AX83" s="35"/>
      <x:c r="AY83" s="35"/>
      <x:c r="AZ83" s="35"/>
      <x:c r="BA83" s="35"/>
      <x:c r="BB83" s="35"/>
      <x:c r="BC83" s="35"/>
      <x:c r="BD83" s="35"/>
      <x:c r="BE83" s="31"/>
      <x:c r="BF83" s="31"/>
    </x:row>
    <x:row r="84">
      <x:c r="A84" s="31"/>
      <x:c r="B84" s="31"/>
      <x:c r="C84" s="33" t="str">
        <x:f>AH84</x:f>
        <x:v>À rechercher</x:v>
      </x:c>
      <x:c r="D84" s="31"/>
      <x:c r="E84" s="31"/>
      <x:c r="F84" s="31"/>
      <x:c r="G84" s="31"/>
      <x:c r="H84" s="31"/>
      <x:c r="I84" s="31"/>
      <x:c r="J84" s="37"/>
      <x:c r="K84" s="31"/>
      <x:c r="L84" s="31"/>
      <x:c r="M84" s="31"/>
      <x:c r="N84" s="31"/>
      <x:c r="O84" s="31"/>
      <x:c r="P84" s="31"/>
      <x:c r="Q84" s="31"/>
      <x:c r="R84" s="31"/>
      <x:c r="S84" s="35"/>
      <x:c r="T84" s="35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9" t="n">
        <x:f>COUNT(V84:AE84)</x:f>
        <x:v>0</x:v>
      </x:c>
      <x:c r="AG84" s="39" t="str">
        <x:f>IF(AF84&gt;=7,SUM(V84:AE84),"")</x:f>
      </x:c>
      <x:c r="AH84" s="33" t="str">
        <x:f>IF(AF84&lt;7,"À rechercher",IF(AG84&gt;=75,"P1",IF(AG84&gt;=60,"P2",IF(AG84&gt;=45,"P3","Faible priorité"))))</x:f>
        <x:v>À rechercher</x:v>
      </x:c>
      <x:c r="AI84" s="31"/>
      <x:c r="AJ84" s="31"/>
      <x:c r="AK84" s="35"/>
      <x:c r="AL84" s="31"/>
      <x:c r="AM84" s="31"/>
      <x:c r="AN84" s="31"/>
      <x:c r="AO84" s="31"/>
      <x:c r="AP84" s="31"/>
      <x:c r="AQ84" s="35"/>
      <x:c r="AR84" s="31"/>
      <x:c r="AS84" s="35"/>
      <x:c r="AT84" s="31"/>
      <x:c r="AU84" s="35"/>
      <x:c r="AV84" s="35"/>
      <x:c r="AW84" s="35"/>
      <x:c r="AX84" s="35"/>
      <x:c r="AY84" s="35"/>
      <x:c r="AZ84" s="35"/>
      <x:c r="BA84" s="35"/>
      <x:c r="BB84" s="35"/>
      <x:c r="BC84" s="35"/>
      <x:c r="BD84" s="35"/>
      <x:c r="BE84" s="31"/>
      <x:c r="BF84" s="31"/>
    </x:row>
    <x:row r="85">
      <x:c r="A85" s="31"/>
      <x:c r="B85" s="31"/>
      <x:c r="C85" s="33" t="str">
        <x:f>AH85</x:f>
        <x:v>À rechercher</x:v>
      </x:c>
      <x:c r="D85" s="31"/>
      <x:c r="E85" s="31"/>
      <x:c r="F85" s="31"/>
      <x:c r="G85" s="31"/>
      <x:c r="H85" s="31"/>
      <x:c r="I85" s="31"/>
      <x:c r="J85" s="37"/>
      <x:c r="K85" s="31"/>
      <x:c r="L85" s="31"/>
      <x:c r="M85" s="31"/>
      <x:c r="N85" s="31"/>
      <x:c r="O85" s="31"/>
      <x:c r="P85" s="31"/>
      <x:c r="Q85" s="31"/>
      <x:c r="R85" s="31"/>
      <x:c r="S85" s="35"/>
      <x:c r="T85" s="35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9" t="n">
        <x:f>COUNT(V85:AE85)</x:f>
        <x:v>0</x:v>
      </x:c>
      <x:c r="AG85" s="39" t="str">
        <x:f>IF(AF85&gt;=7,SUM(V85:AE85),"")</x:f>
      </x:c>
      <x:c r="AH85" s="33" t="str">
        <x:f>IF(AF85&lt;7,"À rechercher",IF(AG85&gt;=75,"P1",IF(AG85&gt;=60,"P2",IF(AG85&gt;=45,"P3","Faible priorité"))))</x:f>
        <x:v>À rechercher</x:v>
      </x:c>
      <x:c r="AI85" s="31"/>
      <x:c r="AJ85" s="31"/>
      <x:c r="AK85" s="35"/>
      <x:c r="AL85" s="31"/>
      <x:c r="AM85" s="31"/>
      <x:c r="AN85" s="31"/>
      <x:c r="AO85" s="31"/>
      <x:c r="AP85" s="31"/>
      <x:c r="AQ85" s="35"/>
      <x:c r="AR85" s="31"/>
      <x:c r="AS85" s="35"/>
      <x:c r="AT85" s="31"/>
      <x:c r="AU85" s="35"/>
      <x:c r="AV85" s="35"/>
      <x:c r="AW85" s="35"/>
      <x:c r="AX85" s="35"/>
      <x:c r="AY85" s="35"/>
      <x:c r="AZ85" s="35"/>
      <x:c r="BA85" s="35"/>
      <x:c r="BB85" s="35"/>
      <x:c r="BC85" s="35"/>
      <x:c r="BD85" s="35"/>
      <x:c r="BE85" s="31"/>
      <x:c r="BF85" s="31"/>
    </x:row>
    <x:row r="86">
      <x:c r="A86" s="31"/>
      <x:c r="B86" s="31"/>
      <x:c r="C86" s="33" t="str">
        <x:f>AH86</x:f>
        <x:v>À rechercher</x:v>
      </x:c>
      <x:c r="D86" s="31"/>
      <x:c r="E86" s="31"/>
      <x:c r="F86" s="31"/>
      <x:c r="G86" s="31"/>
      <x:c r="H86" s="31"/>
      <x:c r="I86" s="31"/>
      <x:c r="J86" s="37"/>
      <x:c r="K86" s="31"/>
      <x:c r="L86" s="31"/>
      <x:c r="M86" s="31"/>
      <x:c r="N86" s="31"/>
      <x:c r="O86" s="31"/>
      <x:c r="P86" s="31"/>
      <x:c r="Q86" s="31"/>
      <x:c r="R86" s="31"/>
      <x:c r="S86" s="35"/>
      <x:c r="T86" s="35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9" t="n">
        <x:f>COUNT(V86:AE86)</x:f>
        <x:v>0</x:v>
      </x:c>
      <x:c r="AG86" s="39" t="str">
        <x:f>IF(AF86&gt;=7,SUM(V86:AE86),"")</x:f>
      </x:c>
      <x:c r="AH86" s="33" t="str">
        <x:f>IF(AF86&lt;7,"À rechercher",IF(AG86&gt;=75,"P1",IF(AG86&gt;=60,"P2",IF(AG86&gt;=45,"P3","Faible priorité"))))</x:f>
        <x:v>À rechercher</x:v>
      </x:c>
      <x:c r="AI86" s="31"/>
      <x:c r="AJ86" s="31"/>
      <x:c r="AK86" s="35"/>
      <x:c r="AL86" s="31"/>
      <x:c r="AM86" s="31"/>
      <x:c r="AN86" s="31"/>
      <x:c r="AO86" s="31"/>
      <x:c r="AP86" s="31"/>
      <x:c r="AQ86" s="35"/>
      <x:c r="AR86" s="31"/>
      <x:c r="AS86" s="35"/>
      <x:c r="AT86" s="31"/>
      <x:c r="AU86" s="35"/>
      <x:c r="AV86" s="35"/>
      <x:c r="AW86" s="35"/>
      <x:c r="AX86" s="35"/>
      <x:c r="AY86" s="35"/>
      <x:c r="AZ86" s="35"/>
      <x:c r="BA86" s="35"/>
      <x:c r="BB86" s="35"/>
      <x:c r="BC86" s="35"/>
      <x:c r="BD86" s="35"/>
      <x:c r="BE86" s="31"/>
      <x:c r="BF86" s="31"/>
    </x:row>
    <x:row r="87">
      <x:c r="A87" s="31"/>
      <x:c r="B87" s="31"/>
      <x:c r="C87" s="33" t="str">
        <x:f>AH87</x:f>
        <x:v>À rechercher</x:v>
      </x:c>
      <x:c r="D87" s="31"/>
      <x:c r="E87" s="31"/>
      <x:c r="F87" s="31"/>
      <x:c r="G87" s="31"/>
      <x:c r="H87" s="31"/>
      <x:c r="I87" s="31"/>
      <x:c r="J87" s="37"/>
      <x:c r="K87" s="31"/>
      <x:c r="L87" s="31"/>
      <x:c r="M87" s="31"/>
      <x:c r="N87" s="31"/>
      <x:c r="O87" s="31"/>
      <x:c r="P87" s="31"/>
      <x:c r="Q87" s="31"/>
      <x:c r="R87" s="31"/>
      <x:c r="S87" s="35"/>
      <x:c r="T87" s="35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9" t="n">
        <x:f>COUNT(V87:AE87)</x:f>
        <x:v>0</x:v>
      </x:c>
      <x:c r="AG87" s="39" t="str">
        <x:f>IF(AF87&gt;=7,SUM(V87:AE87),"")</x:f>
      </x:c>
      <x:c r="AH87" s="33" t="str">
        <x:f>IF(AF87&lt;7,"À rechercher",IF(AG87&gt;=75,"P1",IF(AG87&gt;=60,"P2",IF(AG87&gt;=45,"P3","Faible priorité"))))</x:f>
        <x:v>À rechercher</x:v>
      </x:c>
      <x:c r="AI87" s="31"/>
      <x:c r="AJ87" s="31"/>
      <x:c r="AK87" s="35"/>
      <x:c r="AL87" s="31"/>
      <x:c r="AM87" s="31"/>
      <x:c r="AN87" s="31"/>
      <x:c r="AO87" s="31"/>
      <x:c r="AP87" s="31"/>
      <x:c r="AQ87" s="35"/>
      <x:c r="AR87" s="31"/>
      <x:c r="AS87" s="35"/>
      <x:c r="AT87" s="31"/>
      <x:c r="AU87" s="35"/>
      <x:c r="AV87" s="35"/>
      <x:c r="AW87" s="35"/>
      <x:c r="AX87" s="35"/>
      <x:c r="AY87" s="35"/>
      <x:c r="AZ87" s="35"/>
      <x:c r="BA87" s="35"/>
      <x:c r="BB87" s="35"/>
      <x:c r="BC87" s="35"/>
      <x:c r="BD87" s="35"/>
      <x:c r="BE87" s="31"/>
      <x:c r="BF87" s="31"/>
    </x:row>
    <x:row r="88">
      <x:c r="A88" s="31"/>
      <x:c r="B88" s="31"/>
      <x:c r="C88" s="33" t="str">
        <x:f>AH88</x:f>
        <x:v>À rechercher</x:v>
      </x:c>
      <x:c r="D88" s="31"/>
      <x:c r="E88" s="31"/>
      <x:c r="F88" s="31"/>
      <x:c r="G88" s="31"/>
      <x:c r="H88" s="31"/>
      <x:c r="I88" s="31"/>
      <x:c r="J88" s="37"/>
      <x:c r="K88" s="31"/>
      <x:c r="L88" s="31"/>
      <x:c r="M88" s="31"/>
      <x:c r="N88" s="31"/>
      <x:c r="O88" s="31"/>
      <x:c r="P88" s="31"/>
      <x:c r="Q88" s="31"/>
      <x:c r="R88" s="31"/>
      <x:c r="S88" s="35"/>
      <x:c r="T88" s="35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9" t="n">
        <x:f>COUNT(V88:AE88)</x:f>
        <x:v>0</x:v>
      </x:c>
      <x:c r="AG88" s="39" t="str">
        <x:f>IF(AF88&gt;=7,SUM(V88:AE88),"")</x:f>
      </x:c>
      <x:c r="AH88" s="33" t="str">
        <x:f>IF(AF88&lt;7,"À rechercher",IF(AG88&gt;=75,"P1",IF(AG88&gt;=60,"P2",IF(AG88&gt;=45,"P3","Faible priorité"))))</x:f>
        <x:v>À rechercher</x:v>
      </x:c>
      <x:c r="AI88" s="31"/>
      <x:c r="AJ88" s="31"/>
      <x:c r="AK88" s="35"/>
      <x:c r="AL88" s="31"/>
      <x:c r="AM88" s="31"/>
      <x:c r="AN88" s="31"/>
      <x:c r="AO88" s="31"/>
      <x:c r="AP88" s="31"/>
      <x:c r="AQ88" s="35"/>
      <x:c r="AR88" s="31"/>
      <x:c r="AS88" s="35"/>
      <x:c r="AT88" s="31"/>
      <x:c r="AU88" s="35"/>
      <x:c r="AV88" s="35"/>
      <x:c r="AW88" s="35"/>
      <x:c r="AX88" s="35"/>
      <x:c r="AY88" s="35"/>
      <x:c r="AZ88" s="35"/>
      <x:c r="BA88" s="35"/>
      <x:c r="BB88" s="35"/>
      <x:c r="BC88" s="35"/>
      <x:c r="BD88" s="35"/>
      <x:c r="BE88" s="31"/>
      <x:c r="BF88" s="31"/>
    </x:row>
    <x:row r="89">
      <x:c r="A89" s="31"/>
      <x:c r="B89" s="31"/>
      <x:c r="C89" s="33" t="str">
        <x:f>AH89</x:f>
        <x:v>À rechercher</x:v>
      </x:c>
      <x:c r="D89" s="31"/>
      <x:c r="E89" s="31"/>
      <x:c r="F89" s="31"/>
      <x:c r="G89" s="31"/>
      <x:c r="H89" s="31"/>
      <x:c r="I89" s="31"/>
      <x:c r="J89" s="37"/>
      <x:c r="K89" s="31"/>
      <x:c r="L89" s="31"/>
      <x:c r="M89" s="31"/>
      <x:c r="N89" s="31"/>
      <x:c r="O89" s="31"/>
      <x:c r="P89" s="31"/>
      <x:c r="Q89" s="31"/>
      <x:c r="R89" s="31"/>
      <x:c r="S89" s="35"/>
      <x:c r="T89" s="35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9" t="n">
        <x:f>COUNT(V89:AE89)</x:f>
        <x:v>0</x:v>
      </x:c>
      <x:c r="AG89" s="39" t="str">
        <x:f>IF(AF89&gt;=7,SUM(V89:AE89),"")</x:f>
      </x:c>
      <x:c r="AH89" s="33" t="str">
        <x:f>IF(AF89&lt;7,"À rechercher",IF(AG89&gt;=75,"P1",IF(AG89&gt;=60,"P2",IF(AG89&gt;=45,"P3","Faible priorité"))))</x:f>
        <x:v>À rechercher</x:v>
      </x:c>
      <x:c r="AI89" s="31"/>
      <x:c r="AJ89" s="31"/>
      <x:c r="AK89" s="35"/>
      <x:c r="AL89" s="31"/>
      <x:c r="AM89" s="31"/>
      <x:c r="AN89" s="31"/>
      <x:c r="AO89" s="31"/>
      <x:c r="AP89" s="31"/>
      <x:c r="AQ89" s="35"/>
      <x:c r="AR89" s="31"/>
      <x:c r="AS89" s="35"/>
      <x:c r="AT89" s="31"/>
      <x:c r="AU89" s="35"/>
      <x:c r="AV89" s="35"/>
      <x:c r="AW89" s="35"/>
      <x:c r="AX89" s="35"/>
      <x:c r="AY89" s="35"/>
      <x:c r="AZ89" s="35"/>
      <x:c r="BA89" s="35"/>
      <x:c r="BB89" s="35"/>
      <x:c r="BC89" s="35"/>
      <x:c r="BD89" s="35"/>
      <x:c r="BE89" s="31"/>
      <x:c r="BF89" s="31"/>
    </x:row>
    <x:row r="90">
      <x:c r="A90" s="31"/>
      <x:c r="B90" s="31"/>
      <x:c r="C90" s="33" t="str">
        <x:f>AH90</x:f>
        <x:v>À rechercher</x:v>
      </x:c>
      <x:c r="D90" s="31"/>
      <x:c r="E90" s="31"/>
      <x:c r="F90" s="31"/>
      <x:c r="G90" s="31"/>
      <x:c r="H90" s="31"/>
      <x:c r="I90" s="31"/>
      <x:c r="J90" s="37"/>
      <x:c r="K90" s="31"/>
      <x:c r="L90" s="31"/>
      <x:c r="M90" s="31"/>
      <x:c r="N90" s="31"/>
      <x:c r="O90" s="31"/>
      <x:c r="P90" s="31"/>
      <x:c r="Q90" s="31"/>
      <x:c r="R90" s="31"/>
      <x:c r="S90" s="35"/>
      <x:c r="T90" s="35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9" t="n">
        <x:f>COUNT(V90:AE90)</x:f>
        <x:v>0</x:v>
      </x:c>
      <x:c r="AG90" s="39" t="str">
        <x:f>IF(AF90&gt;=7,SUM(V90:AE90),"")</x:f>
      </x:c>
      <x:c r="AH90" s="33" t="str">
        <x:f>IF(AF90&lt;7,"À rechercher",IF(AG90&gt;=75,"P1",IF(AG90&gt;=60,"P2",IF(AG90&gt;=45,"P3","Faible priorité"))))</x:f>
        <x:v>À rechercher</x:v>
      </x:c>
      <x:c r="AI90" s="31"/>
      <x:c r="AJ90" s="31"/>
      <x:c r="AK90" s="35"/>
      <x:c r="AL90" s="31"/>
      <x:c r="AM90" s="31"/>
      <x:c r="AN90" s="31"/>
      <x:c r="AO90" s="31"/>
      <x:c r="AP90" s="31"/>
      <x:c r="AQ90" s="35"/>
      <x:c r="AR90" s="31"/>
      <x:c r="AS90" s="35"/>
      <x:c r="AT90" s="31"/>
      <x:c r="AU90" s="35"/>
      <x:c r="AV90" s="35"/>
      <x:c r="AW90" s="35"/>
      <x:c r="AX90" s="35"/>
      <x:c r="AY90" s="35"/>
      <x:c r="AZ90" s="35"/>
      <x:c r="BA90" s="35"/>
      <x:c r="BB90" s="35"/>
      <x:c r="BC90" s="35"/>
      <x:c r="BD90" s="35"/>
      <x:c r="BE90" s="31"/>
      <x:c r="BF90" s="31"/>
    </x:row>
    <x:row r="91">
      <x:c r="A91" s="31"/>
      <x:c r="B91" s="31"/>
      <x:c r="C91" s="33" t="str">
        <x:f>AH91</x:f>
        <x:v>À rechercher</x:v>
      </x:c>
      <x:c r="D91" s="31"/>
      <x:c r="E91" s="31"/>
      <x:c r="F91" s="31"/>
      <x:c r="G91" s="31"/>
      <x:c r="H91" s="31"/>
      <x:c r="I91" s="31"/>
      <x:c r="J91" s="37"/>
      <x:c r="K91" s="31"/>
      <x:c r="L91" s="31"/>
      <x:c r="M91" s="31"/>
      <x:c r="N91" s="31"/>
      <x:c r="O91" s="31"/>
      <x:c r="P91" s="31"/>
      <x:c r="Q91" s="31"/>
      <x:c r="R91" s="31"/>
      <x:c r="S91" s="35"/>
      <x:c r="T91" s="35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9" t="n">
        <x:f>COUNT(V91:AE91)</x:f>
        <x:v>0</x:v>
      </x:c>
      <x:c r="AG91" s="39" t="str">
        <x:f>IF(AF91&gt;=7,SUM(V91:AE91),"")</x:f>
      </x:c>
      <x:c r="AH91" s="33" t="str">
        <x:f>IF(AF91&lt;7,"À rechercher",IF(AG91&gt;=75,"P1",IF(AG91&gt;=60,"P2",IF(AG91&gt;=45,"P3","Faible priorité"))))</x:f>
        <x:v>À rechercher</x:v>
      </x:c>
      <x:c r="AI91" s="31"/>
      <x:c r="AJ91" s="31"/>
      <x:c r="AK91" s="35"/>
      <x:c r="AL91" s="31"/>
      <x:c r="AM91" s="31"/>
      <x:c r="AN91" s="31"/>
      <x:c r="AO91" s="31"/>
      <x:c r="AP91" s="31"/>
      <x:c r="AQ91" s="35"/>
      <x:c r="AR91" s="31"/>
      <x:c r="AS91" s="35"/>
      <x:c r="AT91" s="31"/>
      <x:c r="AU91" s="35"/>
      <x:c r="AV91" s="35"/>
      <x:c r="AW91" s="35"/>
      <x:c r="AX91" s="35"/>
      <x:c r="AY91" s="35"/>
      <x:c r="AZ91" s="35"/>
      <x:c r="BA91" s="35"/>
      <x:c r="BB91" s="35"/>
      <x:c r="BC91" s="35"/>
      <x:c r="BD91" s="35"/>
      <x:c r="BE91" s="31"/>
      <x:c r="BF91" s="31"/>
    </x:row>
    <x:row r="92">
      <x:c r="A92" s="31"/>
      <x:c r="B92" s="31"/>
      <x:c r="C92" s="33" t="str">
        <x:f>AH92</x:f>
        <x:v>À rechercher</x:v>
      </x:c>
      <x:c r="D92" s="31"/>
      <x:c r="E92" s="31"/>
      <x:c r="F92" s="31"/>
      <x:c r="G92" s="31"/>
      <x:c r="H92" s="31"/>
      <x:c r="I92" s="31"/>
      <x:c r="J92" s="37"/>
      <x:c r="K92" s="31"/>
      <x:c r="L92" s="31"/>
      <x:c r="M92" s="31"/>
      <x:c r="N92" s="31"/>
      <x:c r="O92" s="31"/>
      <x:c r="P92" s="31"/>
      <x:c r="Q92" s="31"/>
      <x:c r="R92" s="31"/>
      <x:c r="S92" s="35"/>
      <x:c r="T92" s="35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9" t="n">
        <x:f>COUNT(V92:AE92)</x:f>
        <x:v>0</x:v>
      </x:c>
      <x:c r="AG92" s="39" t="str">
        <x:f>IF(AF92&gt;=7,SUM(V92:AE92),"")</x:f>
      </x:c>
      <x:c r="AH92" s="33" t="str">
        <x:f>IF(AF92&lt;7,"À rechercher",IF(AG92&gt;=75,"P1",IF(AG92&gt;=60,"P2",IF(AG92&gt;=45,"P3","Faible priorité"))))</x:f>
        <x:v>À rechercher</x:v>
      </x:c>
      <x:c r="AI92" s="31"/>
      <x:c r="AJ92" s="31"/>
      <x:c r="AK92" s="35"/>
      <x:c r="AL92" s="31"/>
      <x:c r="AM92" s="31"/>
      <x:c r="AN92" s="31"/>
      <x:c r="AO92" s="31"/>
      <x:c r="AP92" s="31"/>
      <x:c r="AQ92" s="35"/>
      <x:c r="AR92" s="31"/>
      <x:c r="AS92" s="35"/>
      <x:c r="AT92" s="31"/>
      <x:c r="AU92" s="35"/>
      <x:c r="AV92" s="35"/>
      <x:c r="AW92" s="35"/>
      <x:c r="AX92" s="35"/>
      <x:c r="AY92" s="35"/>
      <x:c r="AZ92" s="35"/>
      <x:c r="BA92" s="35"/>
      <x:c r="BB92" s="35"/>
      <x:c r="BC92" s="35"/>
      <x:c r="BD92" s="35"/>
      <x:c r="BE92" s="31"/>
      <x:c r="BF92" s="31"/>
    </x:row>
    <x:row r="93">
      <x:c r="A93" s="31"/>
      <x:c r="B93" s="31"/>
      <x:c r="C93" s="33" t="str">
        <x:f>AH93</x:f>
        <x:v>À rechercher</x:v>
      </x:c>
      <x:c r="D93" s="31"/>
      <x:c r="E93" s="31"/>
      <x:c r="F93" s="31"/>
      <x:c r="G93" s="31"/>
      <x:c r="H93" s="31"/>
      <x:c r="I93" s="31"/>
      <x:c r="J93" s="37"/>
      <x:c r="K93" s="31"/>
      <x:c r="L93" s="31"/>
      <x:c r="M93" s="31"/>
      <x:c r="N93" s="31"/>
      <x:c r="O93" s="31"/>
      <x:c r="P93" s="31"/>
      <x:c r="Q93" s="31"/>
      <x:c r="R93" s="31"/>
      <x:c r="S93" s="35"/>
      <x:c r="T93" s="35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9" t="n">
        <x:f>COUNT(V93:AE93)</x:f>
        <x:v>0</x:v>
      </x:c>
      <x:c r="AG93" s="39" t="str">
        <x:f>IF(AF93&gt;=7,SUM(V93:AE93),"")</x:f>
      </x:c>
      <x:c r="AH93" s="33" t="str">
        <x:f>IF(AF93&lt;7,"À rechercher",IF(AG93&gt;=75,"P1",IF(AG93&gt;=60,"P2",IF(AG93&gt;=45,"P3","Faible priorité"))))</x:f>
        <x:v>À rechercher</x:v>
      </x:c>
      <x:c r="AI93" s="31"/>
      <x:c r="AJ93" s="31"/>
      <x:c r="AK93" s="35"/>
      <x:c r="AL93" s="31"/>
      <x:c r="AM93" s="31"/>
      <x:c r="AN93" s="31"/>
      <x:c r="AO93" s="31"/>
      <x:c r="AP93" s="31"/>
      <x:c r="AQ93" s="35"/>
      <x:c r="AR93" s="31"/>
      <x:c r="AS93" s="35"/>
      <x:c r="AT93" s="31"/>
      <x:c r="AU93" s="35"/>
      <x:c r="AV93" s="35"/>
      <x:c r="AW93" s="35"/>
      <x:c r="AX93" s="35"/>
      <x:c r="AY93" s="35"/>
      <x:c r="AZ93" s="35"/>
      <x:c r="BA93" s="35"/>
      <x:c r="BB93" s="35"/>
      <x:c r="BC93" s="35"/>
      <x:c r="BD93" s="35"/>
      <x:c r="BE93" s="31"/>
      <x:c r="BF93" s="31"/>
    </x:row>
    <x:row r="94">
      <x:c r="A94" s="31"/>
      <x:c r="B94" s="31"/>
      <x:c r="C94" s="33" t="str">
        <x:f>AH94</x:f>
        <x:v>À rechercher</x:v>
      </x:c>
      <x:c r="D94" s="31"/>
      <x:c r="E94" s="31"/>
      <x:c r="F94" s="31"/>
      <x:c r="G94" s="31"/>
      <x:c r="H94" s="31"/>
      <x:c r="I94" s="31"/>
      <x:c r="J94" s="37"/>
      <x:c r="K94" s="31"/>
      <x:c r="L94" s="31"/>
      <x:c r="M94" s="31"/>
      <x:c r="N94" s="31"/>
      <x:c r="O94" s="31"/>
      <x:c r="P94" s="31"/>
      <x:c r="Q94" s="31"/>
      <x:c r="R94" s="31"/>
      <x:c r="S94" s="35"/>
      <x:c r="T94" s="35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9" t="n">
        <x:f>COUNT(V94:AE94)</x:f>
        <x:v>0</x:v>
      </x:c>
      <x:c r="AG94" s="39" t="str">
        <x:f>IF(AF94&gt;=7,SUM(V94:AE94),"")</x:f>
      </x:c>
      <x:c r="AH94" s="33" t="str">
        <x:f>IF(AF94&lt;7,"À rechercher",IF(AG94&gt;=75,"P1",IF(AG94&gt;=60,"P2",IF(AG94&gt;=45,"P3","Faible priorité"))))</x:f>
        <x:v>À rechercher</x:v>
      </x:c>
      <x:c r="AI94" s="31"/>
      <x:c r="AJ94" s="31"/>
      <x:c r="AK94" s="35"/>
      <x:c r="AL94" s="31"/>
      <x:c r="AM94" s="31"/>
      <x:c r="AN94" s="31"/>
      <x:c r="AO94" s="31"/>
      <x:c r="AP94" s="31"/>
      <x:c r="AQ94" s="35"/>
      <x:c r="AR94" s="31"/>
      <x:c r="AS94" s="35"/>
      <x:c r="AT94" s="31"/>
      <x:c r="AU94" s="35"/>
      <x:c r="AV94" s="35"/>
      <x:c r="AW94" s="35"/>
      <x:c r="AX94" s="35"/>
      <x:c r="AY94" s="35"/>
      <x:c r="AZ94" s="35"/>
      <x:c r="BA94" s="35"/>
      <x:c r="BB94" s="35"/>
      <x:c r="BC94" s="35"/>
      <x:c r="BD94" s="35"/>
      <x:c r="BE94" s="31"/>
      <x:c r="BF94" s="31"/>
    </x:row>
    <x:row r="95">
      <x:c r="A95" s="31"/>
      <x:c r="B95" s="31"/>
      <x:c r="C95" s="33" t="str">
        <x:f>AH95</x:f>
        <x:v>À rechercher</x:v>
      </x:c>
      <x:c r="D95" s="31"/>
      <x:c r="E95" s="31"/>
      <x:c r="F95" s="31"/>
      <x:c r="G95" s="31"/>
      <x:c r="H95" s="31"/>
      <x:c r="I95" s="31"/>
      <x:c r="J95" s="37"/>
      <x:c r="K95" s="31"/>
      <x:c r="L95" s="31"/>
      <x:c r="M95" s="31"/>
      <x:c r="N95" s="31"/>
      <x:c r="O95" s="31"/>
      <x:c r="P95" s="31"/>
      <x:c r="Q95" s="31"/>
      <x:c r="R95" s="31"/>
      <x:c r="S95" s="35"/>
      <x:c r="T95" s="35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9" t="n">
        <x:f>COUNT(V95:AE95)</x:f>
        <x:v>0</x:v>
      </x:c>
      <x:c r="AG95" s="39" t="str">
        <x:f>IF(AF95&gt;=7,SUM(V95:AE95),"")</x:f>
      </x:c>
      <x:c r="AH95" s="33" t="str">
        <x:f>IF(AF95&lt;7,"À rechercher",IF(AG95&gt;=75,"P1",IF(AG95&gt;=60,"P2",IF(AG95&gt;=45,"P3","Faible priorité"))))</x:f>
        <x:v>À rechercher</x:v>
      </x:c>
      <x:c r="AI95" s="31"/>
      <x:c r="AJ95" s="31"/>
      <x:c r="AK95" s="35"/>
      <x:c r="AL95" s="31"/>
      <x:c r="AM95" s="31"/>
      <x:c r="AN95" s="31"/>
      <x:c r="AO95" s="31"/>
      <x:c r="AP95" s="31"/>
      <x:c r="AQ95" s="35"/>
      <x:c r="AR95" s="31"/>
      <x:c r="AS95" s="35"/>
      <x:c r="AT95" s="31"/>
      <x:c r="AU95" s="35"/>
      <x:c r="AV95" s="35"/>
      <x:c r="AW95" s="35"/>
      <x:c r="AX95" s="35"/>
      <x:c r="AY95" s="35"/>
      <x:c r="AZ95" s="35"/>
      <x:c r="BA95" s="35"/>
      <x:c r="BB95" s="35"/>
      <x:c r="BC95" s="35"/>
      <x:c r="BD95" s="35"/>
      <x:c r="BE95" s="31"/>
      <x:c r="BF95" s="31"/>
    </x:row>
    <x:row r="96">
      <x:c r="A96" s="31"/>
      <x:c r="B96" s="31"/>
      <x:c r="C96" s="33" t="str">
        <x:f>AH96</x:f>
        <x:v>À rechercher</x:v>
      </x:c>
      <x:c r="D96" s="31"/>
      <x:c r="E96" s="31"/>
      <x:c r="F96" s="31"/>
      <x:c r="G96" s="31"/>
      <x:c r="H96" s="31"/>
      <x:c r="I96" s="31"/>
      <x:c r="J96" s="37"/>
      <x:c r="K96" s="31"/>
      <x:c r="L96" s="31"/>
      <x:c r="M96" s="31"/>
      <x:c r="N96" s="31"/>
      <x:c r="O96" s="31"/>
      <x:c r="P96" s="31"/>
      <x:c r="Q96" s="31"/>
      <x:c r="R96" s="31"/>
      <x:c r="S96" s="35"/>
      <x:c r="T96" s="35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9" t="n">
        <x:f>COUNT(V96:AE96)</x:f>
        <x:v>0</x:v>
      </x:c>
      <x:c r="AG96" s="39" t="str">
        <x:f>IF(AF96&gt;=7,SUM(V96:AE96),"")</x:f>
      </x:c>
      <x:c r="AH96" s="33" t="str">
        <x:f>IF(AF96&lt;7,"À rechercher",IF(AG96&gt;=75,"P1",IF(AG96&gt;=60,"P2",IF(AG96&gt;=45,"P3","Faible priorité"))))</x:f>
        <x:v>À rechercher</x:v>
      </x:c>
      <x:c r="AI96" s="31"/>
      <x:c r="AJ96" s="31"/>
      <x:c r="AK96" s="35"/>
      <x:c r="AL96" s="31"/>
      <x:c r="AM96" s="31"/>
      <x:c r="AN96" s="31"/>
      <x:c r="AO96" s="31"/>
      <x:c r="AP96" s="31"/>
      <x:c r="AQ96" s="35"/>
      <x:c r="AR96" s="31"/>
      <x:c r="AS96" s="35"/>
      <x:c r="AT96" s="31"/>
      <x:c r="AU96" s="35"/>
      <x:c r="AV96" s="35"/>
      <x:c r="AW96" s="35"/>
      <x:c r="AX96" s="35"/>
      <x:c r="AY96" s="35"/>
      <x:c r="AZ96" s="35"/>
      <x:c r="BA96" s="35"/>
      <x:c r="BB96" s="35"/>
      <x:c r="BC96" s="35"/>
      <x:c r="BD96" s="35"/>
      <x:c r="BE96" s="31"/>
      <x:c r="BF96" s="31"/>
    </x:row>
    <x:row r="97">
      <x:c r="A97" s="31"/>
      <x:c r="B97" s="31"/>
      <x:c r="C97" s="33" t="str">
        <x:f>AH97</x:f>
        <x:v>À rechercher</x:v>
      </x:c>
      <x:c r="D97" s="31"/>
      <x:c r="E97" s="31"/>
      <x:c r="F97" s="31"/>
      <x:c r="G97" s="31"/>
      <x:c r="H97" s="31"/>
      <x:c r="I97" s="31"/>
      <x:c r="J97" s="37"/>
      <x:c r="K97" s="31"/>
      <x:c r="L97" s="31"/>
      <x:c r="M97" s="31"/>
      <x:c r="N97" s="31"/>
      <x:c r="O97" s="31"/>
      <x:c r="P97" s="31"/>
      <x:c r="Q97" s="31"/>
      <x:c r="R97" s="31"/>
      <x:c r="S97" s="35"/>
      <x:c r="T97" s="35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9" t="n">
        <x:f>COUNT(V97:AE97)</x:f>
        <x:v>0</x:v>
      </x:c>
      <x:c r="AG97" s="39" t="str">
        <x:f>IF(AF97&gt;=7,SUM(V97:AE97),"")</x:f>
      </x:c>
      <x:c r="AH97" s="33" t="str">
        <x:f>IF(AF97&lt;7,"À rechercher",IF(AG97&gt;=75,"P1",IF(AG97&gt;=60,"P2",IF(AG97&gt;=45,"P3","Faible priorité"))))</x:f>
        <x:v>À rechercher</x:v>
      </x:c>
      <x:c r="AI97" s="31"/>
      <x:c r="AJ97" s="31"/>
      <x:c r="AK97" s="35"/>
      <x:c r="AL97" s="31"/>
      <x:c r="AM97" s="31"/>
      <x:c r="AN97" s="31"/>
      <x:c r="AO97" s="31"/>
      <x:c r="AP97" s="31"/>
      <x:c r="AQ97" s="35"/>
      <x:c r="AR97" s="31"/>
      <x:c r="AS97" s="35"/>
      <x:c r="AT97" s="31"/>
      <x:c r="AU97" s="35"/>
      <x:c r="AV97" s="35"/>
      <x:c r="AW97" s="35"/>
      <x:c r="AX97" s="35"/>
      <x:c r="AY97" s="35"/>
      <x:c r="AZ97" s="35"/>
      <x:c r="BA97" s="35"/>
      <x:c r="BB97" s="35"/>
      <x:c r="BC97" s="35"/>
      <x:c r="BD97" s="35"/>
      <x:c r="BE97" s="31"/>
      <x:c r="BF97" s="31"/>
    </x:row>
    <x:row r="98">
      <x:c r="A98" s="31"/>
      <x:c r="B98" s="31"/>
      <x:c r="C98" s="33" t="str">
        <x:f>AH98</x:f>
        <x:v>À rechercher</x:v>
      </x:c>
      <x:c r="D98" s="31"/>
      <x:c r="E98" s="31"/>
      <x:c r="F98" s="31"/>
      <x:c r="G98" s="31"/>
      <x:c r="H98" s="31"/>
      <x:c r="I98" s="31"/>
      <x:c r="J98" s="37"/>
      <x:c r="K98" s="31"/>
      <x:c r="L98" s="31"/>
      <x:c r="M98" s="31"/>
      <x:c r="N98" s="31"/>
      <x:c r="O98" s="31"/>
      <x:c r="P98" s="31"/>
      <x:c r="Q98" s="31"/>
      <x:c r="R98" s="31"/>
      <x:c r="S98" s="35"/>
      <x:c r="T98" s="35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9" t="n">
        <x:f>COUNT(V98:AE98)</x:f>
        <x:v>0</x:v>
      </x:c>
      <x:c r="AG98" s="39" t="str">
        <x:f>IF(AF98&gt;=7,SUM(V98:AE98),"")</x:f>
      </x:c>
      <x:c r="AH98" s="33" t="str">
        <x:f>IF(AF98&lt;7,"À rechercher",IF(AG98&gt;=75,"P1",IF(AG98&gt;=60,"P2",IF(AG98&gt;=45,"P3","Faible priorité"))))</x:f>
        <x:v>À rechercher</x:v>
      </x:c>
      <x:c r="AI98" s="31"/>
      <x:c r="AJ98" s="31"/>
      <x:c r="AK98" s="35"/>
      <x:c r="AL98" s="31"/>
      <x:c r="AM98" s="31"/>
      <x:c r="AN98" s="31"/>
      <x:c r="AO98" s="31"/>
      <x:c r="AP98" s="31"/>
      <x:c r="AQ98" s="35"/>
      <x:c r="AR98" s="31"/>
      <x:c r="AS98" s="35"/>
      <x:c r="AT98" s="31"/>
      <x:c r="AU98" s="35"/>
      <x:c r="AV98" s="35"/>
      <x:c r="AW98" s="35"/>
      <x:c r="AX98" s="35"/>
      <x:c r="AY98" s="35"/>
      <x:c r="AZ98" s="35"/>
      <x:c r="BA98" s="35"/>
      <x:c r="BB98" s="35"/>
      <x:c r="BC98" s="35"/>
      <x:c r="BD98" s="35"/>
      <x:c r="BE98" s="31"/>
      <x:c r="BF98" s="31"/>
    </x:row>
    <x:row r="99">
      <x:c r="A99" s="31"/>
      <x:c r="B99" s="31"/>
      <x:c r="C99" s="33" t="str">
        <x:f>AH99</x:f>
        <x:v>À rechercher</x:v>
      </x:c>
      <x:c r="D99" s="31"/>
      <x:c r="E99" s="31"/>
      <x:c r="F99" s="31"/>
      <x:c r="G99" s="31"/>
      <x:c r="H99" s="31"/>
      <x:c r="I99" s="31"/>
      <x:c r="J99" s="37"/>
      <x:c r="K99" s="31"/>
      <x:c r="L99" s="31"/>
      <x:c r="M99" s="31"/>
      <x:c r="N99" s="31"/>
      <x:c r="O99" s="31"/>
      <x:c r="P99" s="31"/>
      <x:c r="Q99" s="31"/>
      <x:c r="R99" s="31"/>
      <x:c r="S99" s="35"/>
      <x:c r="T99" s="35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9" t="n">
        <x:f>COUNT(V99:AE99)</x:f>
        <x:v>0</x:v>
      </x:c>
      <x:c r="AG99" s="39" t="str">
        <x:f>IF(AF99&gt;=7,SUM(V99:AE99),"")</x:f>
      </x:c>
      <x:c r="AH99" s="33" t="str">
        <x:f>IF(AF99&lt;7,"À rechercher",IF(AG99&gt;=75,"P1",IF(AG99&gt;=60,"P2",IF(AG99&gt;=45,"P3","Faible priorité"))))</x:f>
        <x:v>À rechercher</x:v>
      </x:c>
      <x:c r="AI99" s="31"/>
      <x:c r="AJ99" s="31"/>
      <x:c r="AK99" s="35"/>
      <x:c r="AL99" s="31"/>
      <x:c r="AM99" s="31"/>
      <x:c r="AN99" s="31"/>
      <x:c r="AO99" s="31"/>
      <x:c r="AP99" s="31"/>
      <x:c r="AQ99" s="35"/>
      <x:c r="AR99" s="31"/>
      <x:c r="AS99" s="35"/>
      <x:c r="AT99" s="31"/>
      <x:c r="AU99" s="35"/>
      <x:c r="AV99" s="35"/>
      <x:c r="AW99" s="35"/>
      <x:c r="AX99" s="35"/>
      <x:c r="AY99" s="35"/>
      <x:c r="AZ99" s="35"/>
      <x:c r="BA99" s="35"/>
      <x:c r="BB99" s="35"/>
      <x:c r="BC99" s="35"/>
      <x:c r="BD99" s="35"/>
      <x:c r="BE99" s="31"/>
      <x:c r="BF99" s="31"/>
    </x:row>
    <x:row r="100">
      <x:c r="A100" s="31"/>
      <x:c r="B100" s="31"/>
      <x:c r="C100" s="33" t="str">
        <x:f>AH100</x:f>
        <x:v>À rechercher</x:v>
      </x:c>
      <x:c r="D100" s="31"/>
      <x:c r="E100" s="31"/>
      <x:c r="F100" s="31"/>
      <x:c r="G100" s="31"/>
      <x:c r="H100" s="31"/>
      <x:c r="I100" s="31"/>
      <x:c r="J100" s="37"/>
      <x:c r="K100" s="31"/>
      <x:c r="L100" s="31"/>
      <x:c r="M100" s="31"/>
      <x:c r="N100" s="31"/>
      <x:c r="O100" s="31"/>
      <x:c r="P100" s="31"/>
      <x:c r="Q100" s="31"/>
      <x:c r="R100" s="31"/>
      <x:c r="S100" s="35"/>
      <x:c r="T100" s="35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9" t="n">
        <x:f>COUNT(V100:AE100)</x:f>
        <x:v>0</x:v>
      </x:c>
      <x:c r="AG100" s="39" t="str">
        <x:f>IF(AF100&gt;=7,SUM(V100:AE100),"")</x:f>
      </x:c>
      <x:c r="AH100" s="33" t="str">
        <x:f>IF(AF100&lt;7,"À rechercher",IF(AG100&gt;=75,"P1",IF(AG100&gt;=60,"P2",IF(AG100&gt;=45,"P3","Faible priorité"))))</x:f>
        <x:v>À rechercher</x:v>
      </x:c>
      <x:c r="AI100" s="31"/>
      <x:c r="AJ100" s="31"/>
      <x:c r="AK100" s="35"/>
      <x:c r="AL100" s="31"/>
      <x:c r="AM100" s="31"/>
      <x:c r="AN100" s="31"/>
      <x:c r="AO100" s="31"/>
      <x:c r="AP100" s="31"/>
      <x:c r="AQ100" s="35"/>
      <x:c r="AR100" s="31"/>
      <x:c r="AS100" s="35"/>
      <x:c r="AT100" s="31"/>
      <x:c r="AU100" s="35"/>
      <x:c r="AV100" s="35"/>
      <x:c r="AW100" s="35"/>
      <x:c r="AX100" s="35"/>
      <x:c r="AY100" s="35"/>
      <x:c r="AZ100" s="35"/>
      <x:c r="BA100" s="35"/>
      <x:c r="BB100" s="35"/>
      <x:c r="BC100" s="35"/>
      <x:c r="BD100" s="35"/>
      <x:c r="BE100" s="31"/>
      <x:c r="BF100" s="31"/>
    </x:row>
    <x:row r="101">
      <x:c r="A101" s="31"/>
      <x:c r="B101" s="31"/>
      <x:c r="C101" s="33" t="str">
        <x:f>AH101</x:f>
        <x:v>À rechercher</x:v>
      </x:c>
      <x:c r="D101" s="31"/>
      <x:c r="E101" s="31"/>
      <x:c r="F101" s="31"/>
      <x:c r="G101" s="31"/>
      <x:c r="H101" s="31"/>
      <x:c r="I101" s="31"/>
      <x:c r="J101" s="37"/>
      <x:c r="K101" s="31"/>
      <x:c r="L101" s="31"/>
      <x:c r="M101" s="31"/>
      <x:c r="N101" s="31"/>
      <x:c r="O101" s="31"/>
      <x:c r="P101" s="31"/>
      <x:c r="Q101" s="31"/>
      <x:c r="R101" s="31"/>
      <x:c r="S101" s="35"/>
      <x:c r="T101" s="35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9" t="n">
        <x:f>COUNT(V101:AE101)</x:f>
        <x:v>0</x:v>
      </x:c>
      <x:c r="AG101" s="39" t="str">
        <x:f>IF(AF101&gt;=7,SUM(V101:AE101),"")</x:f>
      </x:c>
      <x:c r="AH101" s="33" t="str">
        <x:f>IF(AF101&lt;7,"À rechercher",IF(AG101&gt;=75,"P1",IF(AG101&gt;=60,"P2",IF(AG101&gt;=45,"P3","Faible priorité"))))</x:f>
        <x:v>À rechercher</x:v>
      </x:c>
      <x:c r="AI101" s="31"/>
      <x:c r="AJ101" s="31"/>
      <x:c r="AK101" s="35"/>
      <x:c r="AL101" s="31"/>
      <x:c r="AM101" s="31"/>
      <x:c r="AN101" s="31"/>
      <x:c r="AO101" s="31"/>
      <x:c r="AP101" s="31"/>
      <x:c r="AQ101" s="35"/>
      <x:c r="AR101" s="31"/>
      <x:c r="AS101" s="35"/>
      <x:c r="AT101" s="31"/>
      <x:c r="AU101" s="35"/>
      <x:c r="AV101" s="35"/>
      <x:c r="AW101" s="35"/>
      <x:c r="AX101" s="35"/>
      <x:c r="AY101" s="35"/>
      <x:c r="AZ101" s="35"/>
      <x:c r="BA101" s="35"/>
      <x:c r="BB101" s="35"/>
      <x:c r="BC101" s="35"/>
      <x:c r="BD101" s="35"/>
      <x:c r="BE101" s="31"/>
      <x:c r="BF101" s="31"/>
    </x:row>
    <x:row r="102">
      <x:c r="A102" s="31"/>
      <x:c r="B102" s="31"/>
      <x:c r="C102" s="33" t="str">
        <x:f>AH102</x:f>
        <x:v>À rechercher</x:v>
      </x:c>
      <x:c r="D102" s="31"/>
      <x:c r="E102" s="31"/>
      <x:c r="F102" s="31"/>
      <x:c r="G102" s="31"/>
      <x:c r="H102" s="31"/>
      <x:c r="I102" s="31"/>
      <x:c r="J102" s="37"/>
      <x:c r="K102" s="31"/>
      <x:c r="L102" s="31"/>
      <x:c r="M102" s="31"/>
      <x:c r="N102" s="31"/>
      <x:c r="O102" s="31"/>
      <x:c r="P102" s="31"/>
      <x:c r="Q102" s="31"/>
      <x:c r="R102" s="31"/>
      <x:c r="S102" s="35"/>
      <x:c r="T102" s="35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9" t="n">
        <x:f>COUNT(V102:AE102)</x:f>
        <x:v>0</x:v>
      </x:c>
      <x:c r="AG102" s="39" t="str">
        <x:f>IF(AF102&gt;=7,SUM(V102:AE102),"")</x:f>
      </x:c>
      <x:c r="AH102" s="33" t="str">
        <x:f>IF(AF102&lt;7,"À rechercher",IF(AG102&gt;=75,"P1",IF(AG102&gt;=60,"P2",IF(AG102&gt;=45,"P3","Faible priorité"))))</x:f>
        <x:v>À rechercher</x:v>
      </x:c>
      <x:c r="AI102" s="31"/>
      <x:c r="AJ102" s="31"/>
      <x:c r="AK102" s="35"/>
      <x:c r="AL102" s="31"/>
      <x:c r="AM102" s="31"/>
      <x:c r="AN102" s="31"/>
      <x:c r="AO102" s="31"/>
      <x:c r="AP102" s="31"/>
      <x:c r="AQ102" s="35"/>
      <x:c r="AR102" s="31"/>
      <x:c r="AS102" s="35"/>
      <x:c r="AT102" s="31"/>
      <x:c r="AU102" s="35"/>
      <x:c r="AV102" s="35"/>
      <x:c r="AW102" s="35"/>
      <x:c r="AX102" s="35"/>
      <x:c r="AY102" s="35"/>
      <x:c r="AZ102" s="35"/>
      <x:c r="BA102" s="35"/>
      <x:c r="BB102" s="35"/>
      <x:c r="BC102" s="35"/>
      <x:c r="BD102" s="35"/>
      <x:c r="BE102" s="31"/>
      <x:c r="BF102" s="31"/>
    </x:row>
    <x:row r="103">
      <x:c r="A103" s="31"/>
      <x:c r="B103" s="31"/>
      <x:c r="C103" s="33" t="str">
        <x:f>AH103</x:f>
        <x:v>À rechercher</x:v>
      </x:c>
      <x:c r="D103" s="31"/>
      <x:c r="E103" s="31"/>
      <x:c r="F103" s="31"/>
      <x:c r="G103" s="31"/>
      <x:c r="H103" s="31"/>
      <x:c r="I103" s="31"/>
      <x:c r="J103" s="37"/>
      <x:c r="K103" s="31"/>
      <x:c r="L103" s="31"/>
      <x:c r="M103" s="31"/>
      <x:c r="N103" s="31"/>
      <x:c r="O103" s="31"/>
      <x:c r="P103" s="31"/>
      <x:c r="Q103" s="31"/>
      <x:c r="R103" s="31"/>
      <x:c r="S103" s="35"/>
      <x:c r="T103" s="35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9" t="n">
        <x:f>COUNT(V103:AE103)</x:f>
        <x:v>0</x:v>
      </x:c>
      <x:c r="AG103" s="39" t="str">
        <x:f>IF(AF103&gt;=7,SUM(V103:AE103),"")</x:f>
      </x:c>
      <x:c r="AH103" s="33" t="str">
        <x:f>IF(AF103&lt;7,"À rechercher",IF(AG103&gt;=75,"P1",IF(AG103&gt;=60,"P2",IF(AG103&gt;=45,"P3","Faible priorité"))))</x:f>
        <x:v>À rechercher</x:v>
      </x:c>
      <x:c r="AI103" s="31"/>
      <x:c r="AJ103" s="31"/>
      <x:c r="AK103" s="35"/>
      <x:c r="AL103" s="31"/>
      <x:c r="AM103" s="31"/>
      <x:c r="AN103" s="31"/>
      <x:c r="AO103" s="31"/>
      <x:c r="AP103" s="31"/>
      <x:c r="AQ103" s="35"/>
      <x:c r="AR103" s="31"/>
      <x:c r="AS103" s="35"/>
      <x:c r="AT103" s="31"/>
      <x:c r="AU103" s="35"/>
      <x:c r="AV103" s="35"/>
      <x:c r="AW103" s="35"/>
      <x:c r="AX103" s="35"/>
      <x:c r="AY103" s="35"/>
      <x:c r="AZ103" s="35"/>
      <x:c r="BA103" s="35"/>
      <x:c r="BB103" s="35"/>
      <x:c r="BC103" s="35"/>
      <x:c r="BD103" s="35"/>
      <x:c r="BE103" s="31"/>
      <x:c r="BF103" s="31"/>
    </x:row>
    <x:row r="104">
      <x:c r="A104" s="31"/>
      <x:c r="B104" s="31"/>
      <x:c r="C104" s="33" t="str">
        <x:f>AH104</x:f>
        <x:v>À rechercher</x:v>
      </x:c>
      <x:c r="D104" s="31"/>
      <x:c r="E104" s="31"/>
      <x:c r="F104" s="31"/>
      <x:c r="G104" s="31"/>
      <x:c r="H104" s="31"/>
      <x:c r="I104" s="31"/>
      <x:c r="J104" s="37"/>
      <x:c r="K104" s="31"/>
      <x:c r="L104" s="31"/>
      <x:c r="M104" s="31"/>
      <x:c r="N104" s="31"/>
      <x:c r="O104" s="31"/>
      <x:c r="P104" s="31"/>
      <x:c r="Q104" s="31"/>
      <x:c r="R104" s="31"/>
      <x:c r="S104" s="35"/>
      <x:c r="T104" s="35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9" t="n">
        <x:f>COUNT(V104:AE104)</x:f>
        <x:v>0</x:v>
      </x:c>
      <x:c r="AG104" s="39" t="str">
        <x:f>IF(AF104&gt;=7,SUM(V104:AE104),"")</x:f>
      </x:c>
      <x:c r="AH104" s="33" t="str">
        <x:f>IF(AF104&lt;7,"À rechercher",IF(AG104&gt;=75,"P1",IF(AG104&gt;=60,"P2",IF(AG104&gt;=45,"P3","Faible priorité"))))</x:f>
        <x:v>À rechercher</x:v>
      </x:c>
      <x:c r="AI104" s="31"/>
      <x:c r="AJ104" s="31"/>
      <x:c r="AK104" s="35"/>
      <x:c r="AL104" s="31"/>
      <x:c r="AM104" s="31"/>
      <x:c r="AN104" s="31"/>
      <x:c r="AO104" s="31"/>
      <x:c r="AP104" s="31"/>
      <x:c r="AQ104" s="35"/>
      <x:c r="AR104" s="31"/>
      <x:c r="AS104" s="35"/>
      <x:c r="AT104" s="31"/>
      <x:c r="AU104" s="35"/>
      <x:c r="AV104" s="35"/>
      <x:c r="AW104" s="35"/>
      <x:c r="AX104" s="35"/>
      <x:c r="AY104" s="35"/>
      <x:c r="AZ104" s="35"/>
      <x:c r="BA104" s="35"/>
      <x:c r="BB104" s="35"/>
      <x:c r="BC104" s="35"/>
      <x:c r="BD104" s="35"/>
      <x:c r="BE104" s="31"/>
      <x:c r="BF104" s="31"/>
    </x:row>
    <x:row r="105">
      <x:c r="A105" s="31"/>
      <x:c r="B105" s="31"/>
      <x:c r="C105" s="33" t="str">
        <x:f>AH105</x:f>
        <x:v>À rechercher</x:v>
      </x:c>
      <x:c r="D105" s="31"/>
      <x:c r="E105" s="31"/>
      <x:c r="F105" s="31"/>
      <x:c r="G105" s="31"/>
      <x:c r="H105" s="31"/>
      <x:c r="I105" s="31"/>
      <x:c r="J105" s="37"/>
      <x:c r="K105" s="31"/>
      <x:c r="L105" s="31"/>
      <x:c r="M105" s="31"/>
      <x:c r="N105" s="31"/>
      <x:c r="O105" s="31"/>
      <x:c r="P105" s="31"/>
      <x:c r="Q105" s="31"/>
      <x:c r="R105" s="31"/>
      <x:c r="S105" s="35"/>
      <x:c r="T105" s="35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9" t="n">
        <x:f>COUNT(V105:AE105)</x:f>
        <x:v>0</x:v>
      </x:c>
      <x:c r="AG105" s="39" t="str">
        <x:f>IF(AF105&gt;=7,SUM(V105:AE105),"")</x:f>
      </x:c>
      <x:c r="AH105" s="33" t="str">
        <x:f>IF(AF105&lt;7,"À rechercher",IF(AG105&gt;=75,"P1",IF(AG105&gt;=60,"P2",IF(AG105&gt;=45,"P3","Faible priorité"))))</x:f>
        <x:v>À rechercher</x:v>
      </x:c>
      <x:c r="AI105" s="31"/>
      <x:c r="AJ105" s="31"/>
      <x:c r="AK105" s="35"/>
      <x:c r="AL105" s="31"/>
      <x:c r="AM105" s="31"/>
      <x:c r="AN105" s="31"/>
      <x:c r="AO105" s="31"/>
      <x:c r="AP105" s="31"/>
      <x:c r="AQ105" s="35"/>
      <x:c r="AR105" s="31"/>
      <x:c r="AS105" s="35"/>
      <x:c r="AT105" s="31"/>
      <x:c r="AU105" s="35"/>
      <x:c r="AV105" s="35"/>
      <x:c r="AW105" s="35"/>
      <x:c r="AX105" s="35"/>
      <x:c r="AY105" s="35"/>
      <x:c r="AZ105" s="35"/>
      <x:c r="BA105" s="35"/>
      <x:c r="BB105" s="35"/>
      <x:c r="BC105" s="35"/>
      <x:c r="BD105" s="35"/>
      <x:c r="BE105" s="31"/>
      <x:c r="BF105" s="31"/>
    </x:row>
    <x:row r="106">
      <x:c r="A106" s="31"/>
      <x:c r="B106" s="31"/>
      <x:c r="C106" s="33" t="str">
        <x:f>AH106</x:f>
        <x:v>À rechercher</x:v>
      </x:c>
      <x:c r="D106" s="31"/>
      <x:c r="E106" s="31"/>
      <x:c r="F106" s="31"/>
      <x:c r="G106" s="31"/>
      <x:c r="H106" s="31"/>
      <x:c r="I106" s="31"/>
      <x:c r="J106" s="37"/>
      <x:c r="K106" s="31"/>
      <x:c r="L106" s="31"/>
      <x:c r="M106" s="31"/>
      <x:c r="N106" s="31"/>
      <x:c r="O106" s="31"/>
      <x:c r="P106" s="31"/>
      <x:c r="Q106" s="31"/>
      <x:c r="R106" s="31"/>
      <x:c r="S106" s="35"/>
      <x:c r="T106" s="35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9" t="n">
        <x:f>COUNT(V106:AE106)</x:f>
        <x:v>0</x:v>
      </x:c>
      <x:c r="AG106" s="39" t="str">
        <x:f>IF(AF106&gt;=7,SUM(V106:AE106),"")</x:f>
      </x:c>
      <x:c r="AH106" s="33" t="str">
        <x:f>IF(AF106&lt;7,"À rechercher",IF(AG106&gt;=75,"P1",IF(AG106&gt;=60,"P2",IF(AG106&gt;=45,"P3","Faible priorité"))))</x:f>
        <x:v>À rechercher</x:v>
      </x:c>
      <x:c r="AI106" s="31"/>
      <x:c r="AJ106" s="31"/>
      <x:c r="AK106" s="35"/>
      <x:c r="AL106" s="31"/>
      <x:c r="AM106" s="31"/>
      <x:c r="AN106" s="31"/>
      <x:c r="AO106" s="31"/>
      <x:c r="AP106" s="31"/>
      <x:c r="AQ106" s="35"/>
      <x:c r="AR106" s="31"/>
      <x:c r="AS106" s="35"/>
      <x:c r="AT106" s="31"/>
      <x:c r="AU106" s="35"/>
      <x:c r="AV106" s="35"/>
      <x:c r="AW106" s="35"/>
      <x:c r="AX106" s="35"/>
      <x:c r="AY106" s="35"/>
      <x:c r="AZ106" s="35"/>
      <x:c r="BA106" s="35"/>
      <x:c r="BB106" s="35"/>
      <x:c r="BC106" s="35"/>
      <x:c r="BD106" s="35"/>
      <x:c r="BE106" s="31"/>
      <x:c r="BF106" s="31"/>
    </x:row>
    <x:row r="107">
      <x:c r="A107" s="31"/>
      <x:c r="B107" s="31"/>
      <x:c r="C107" s="33" t="str">
        <x:f>AH107</x:f>
        <x:v>À rechercher</x:v>
      </x:c>
      <x:c r="D107" s="31"/>
      <x:c r="E107" s="31"/>
      <x:c r="F107" s="31"/>
      <x:c r="G107" s="31"/>
      <x:c r="H107" s="31"/>
      <x:c r="I107" s="31"/>
      <x:c r="J107" s="37"/>
      <x:c r="K107" s="31"/>
      <x:c r="L107" s="31"/>
      <x:c r="M107" s="31"/>
      <x:c r="N107" s="31"/>
      <x:c r="O107" s="31"/>
      <x:c r="P107" s="31"/>
      <x:c r="Q107" s="31"/>
      <x:c r="R107" s="31"/>
      <x:c r="S107" s="35"/>
      <x:c r="T107" s="35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9" t="n">
        <x:f>COUNT(V107:AE107)</x:f>
        <x:v>0</x:v>
      </x:c>
      <x:c r="AG107" s="39" t="str">
        <x:f>IF(AF107&gt;=7,SUM(V107:AE107),"")</x:f>
      </x:c>
      <x:c r="AH107" s="33" t="str">
        <x:f>IF(AF107&lt;7,"À rechercher",IF(AG107&gt;=75,"P1",IF(AG107&gt;=60,"P2",IF(AG107&gt;=45,"P3","Faible priorité"))))</x:f>
        <x:v>À rechercher</x:v>
      </x:c>
      <x:c r="AI107" s="31"/>
      <x:c r="AJ107" s="31"/>
      <x:c r="AK107" s="35"/>
      <x:c r="AL107" s="31"/>
      <x:c r="AM107" s="31"/>
      <x:c r="AN107" s="31"/>
      <x:c r="AO107" s="31"/>
      <x:c r="AP107" s="31"/>
      <x:c r="AQ107" s="35"/>
      <x:c r="AR107" s="31"/>
      <x:c r="AS107" s="35"/>
      <x:c r="AT107" s="31"/>
      <x:c r="AU107" s="35"/>
      <x:c r="AV107" s="35"/>
      <x:c r="AW107" s="35"/>
      <x:c r="AX107" s="35"/>
      <x:c r="AY107" s="35"/>
      <x:c r="AZ107" s="35"/>
      <x:c r="BA107" s="35"/>
      <x:c r="BB107" s="35"/>
      <x:c r="BC107" s="35"/>
      <x:c r="BD107" s="35"/>
      <x:c r="BE107" s="31"/>
      <x:c r="BF107" s="31"/>
    </x:row>
    <x:row r="108">
      <x:c r="A108" s="31"/>
      <x:c r="B108" s="31"/>
      <x:c r="C108" s="33" t="str">
        <x:f>AH108</x:f>
        <x:v>À rechercher</x:v>
      </x:c>
      <x:c r="D108" s="31"/>
      <x:c r="E108" s="31"/>
      <x:c r="F108" s="31"/>
      <x:c r="G108" s="31"/>
      <x:c r="H108" s="31"/>
      <x:c r="I108" s="31"/>
      <x:c r="J108" s="37"/>
      <x:c r="K108" s="31"/>
      <x:c r="L108" s="31"/>
      <x:c r="M108" s="31"/>
      <x:c r="N108" s="31"/>
      <x:c r="O108" s="31"/>
      <x:c r="P108" s="31"/>
      <x:c r="Q108" s="31"/>
      <x:c r="R108" s="31"/>
      <x:c r="S108" s="35"/>
      <x:c r="T108" s="35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9" t="n">
        <x:f>COUNT(V108:AE108)</x:f>
        <x:v>0</x:v>
      </x:c>
      <x:c r="AG108" s="39" t="str">
        <x:f>IF(AF108&gt;=7,SUM(V108:AE108),"")</x:f>
      </x:c>
      <x:c r="AH108" s="33" t="str">
        <x:f>IF(AF108&lt;7,"À rechercher",IF(AG108&gt;=75,"P1",IF(AG108&gt;=60,"P2",IF(AG108&gt;=45,"P3","Faible priorité"))))</x:f>
        <x:v>À rechercher</x:v>
      </x:c>
      <x:c r="AI108" s="31"/>
      <x:c r="AJ108" s="31"/>
      <x:c r="AK108" s="35"/>
      <x:c r="AL108" s="31"/>
      <x:c r="AM108" s="31"/>
      <x:c r="AN108" s="31"/>
      <x:c r="AO108" s="31"/>
      <x:c r="AP108" s="31"/>
      <x:c r="AQ108" s="35"/>
      <x:c r="AR108" s="31"/>
      <x:c r="AS108" s="35"/>
      <x:c r="AT108" s="31"/>
      <x:c r="AU108" s="35"/>
      <x:c r="AV108" s="35"/>
      <x:c r="AW108" s="35"/>
      <x:c r="AX108" s="35"/>
      <x:c r="AY108" s="35"/>
      <x:c r="AZ108" s="35"/>
      <x:c r="BA108" s="35"/>
      <x:c r="BB108" s="35"/>
      <x:c r="BC108" s="35"/>
      <x:c r="BD108" s="35"/>
      <x:c r="BE108" s="31"/>
      <x:c r="BF108" s="31"/>
    </x:row>
    <x:row r="109">
      <x:c r="A109" s="31"/>
      <x:c r="B109" s="31"/>
      <x:c r="C109" s="33" t="str">
        <x:f>AH109</x:f>
        <x:v>À rechercher</x:v>
      </x:c>
      <x:c r="D109" s="31"/>
      <x:c r="E109" s="31"/>
      <x:c r="F109" s="31"/>
      <x:c r="G109" s="31"/>
      <x:c r="H109" s="31"/>
      <x:c r="I109" s="31"/>
      <x:c r="J109" s="37"/>
      <x:c r="K109" s="31"/>
      <x:c r="L109" s="31"/>
      <x:c r="M109" s="31"/>
      <x:c r="N109" s="31"/>
      <x:c r="O109" s="31"/>
      <x:c r="P109" s="31"/>
      <x:c r="Q109" s="31"/>
      <x:c r="R109" s="31"/>
      <x:c r="S109" s="35"/>
      <x:c r="T109" s="35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9" t="n">
        <x:f>COUNT(V109:AE109)</x:f>
        <x:v>0</x:v>
      </x:c>
      <x:c r="AG109" s="39" t="str">
        <x:f>IF(AF109&gt;=7,SUM(V109:AE109),"")</x:f>
      </x:c>
      <x:c r="AH109" s="33" t="str">
        <x:f>IF(AF109&lt;7,"À rechercher",IF(AG109&gt;=75,"P1",IF(AG109&gt;=60,"P2",IF(AG109&gt;=45,"P3","Faible priorité"))))</x:f>
        <x:v>À rechercher</x:v>
      </x:c>
      <x:c r="AI109" s="31"/>
      <x:c r="AJ109" s="31"/>
      <x:c r="AK109" s="35"/>
      <x:c r="AL109" s="31"/>
      <x:c r="AM109" s="31"/>
      <x:c r="AN109" s="31"/>
      <x:c r="AO109" s="31"/>
      <x:c r="AP109" s="31"/>
      <x:c r="AQ109" s="35"/>
      <x:c r="AR109" s="31"/>
      <x:c r="AS109" s="35"/>
      <x:c r="AT109" s="31"/>
      <x:c r="AU109" s="35"/>
      <x:c r="AV109" s="35"/>
      <x:c r="AW109" s="35"/>
      <x:c r="AX109" s="35"/>
      <x:c r="AY109" s="35"/>
      <x:c r="AZ109" s="35"/>
      <x:c r="BA109" s="35"/>
      <x:c r="BB109" s="35"/>
      <x:c r="BC109" s="35"/>
      <x:c r="BD109" s="35"/>
      <x:c r="BE109" s="31"/>
      <x:c r="BF109" s="31"/>
    </x:row>
    <x:row r="110">
      <x:c r="A110" s="31"/>
      <x:c r="B110" s="31"/>
      <x:c r="C110" s="33" t="str">
        <x:f>AH110</x:f>
        <x:v>À rechercher</x:v>
      </x:c>
      <x:c r="D110" s="31"/>
      <x:c r="E110" s="31"/>
      <x:c r="F110" s="31"/>
      <x:c r="G110" s="31"/>
      <x:c r="H110" s="31"/>
      <x:c r="I110" s="31"/>
      <x:c r="J110" s="37"/>
      <x:c r="K110" s="31"/>
      <x:c r="L110" s="31"/>
      <x:c r="M110" s="31"/>
      <x:c r="N110" s="31"/>
      <x:c r="O110" s="31"/>
      <x:c r="P110" s="31"/>
      <x:c r="Q110" s="31"/>
      <x:c r="R110" s="31"/>
      <x:c r="S110" s="35"/>
      <x:c r="T110" s="35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9" t="n">
        <x:f>COUNT(V110:AE110)</x:f>
        <x:v>0</x:v>
      </x:c>
      <x:c r="AG110" s="39" t="str">
        <x:f>IF(AF110&gt;=7,SUM(V110:AE110),"")</x:f>
      </x:c>
      <x:c r="AH110" s="33" t="str">
        <x:f>IF(AF110&lt;7,"À rechercher",IF(AG110&gt;=75,"P1",IF(AG110&gt;=60,"P2",IF(AG110&gt;=45,"P3","Faible priorité"))))</x:f>
        <x:v>À rechercher</x:v>
      </x:c>
      <x:c r="AI110" s="31"/>
      <x:c r="AJ110" s="31"/>
      <x:c r="AK110" s="35"/>
      <x:c r="AL110" s="31"/>
      <x:c r="AM110" s="31"/>
      <x:c r="AN110" s="31"/>
      <x:c r="AO110" s="31"/>
      <x:c r="AP110" s="31"/>
      <x:c r="AQ110" s="35"/>
      <x:c r="AR110" s="31"/>
      <x:c r="AS110" s="35"/>
      <x:c r="AT110" s="31"/>
      <x:c r="AU110" s="35"/>
      <x:c r="AV110" s="35"/>
      <x:c r="AW110" s="35"/>
      <x:c r="AX110" s="35"/>
      <x:c r="AY110" s="35"/>
      <x:c r="AZ110" s="35"/>
      <x:c r="BA110" s="35"/>
      <x:c r="BB110" s="35"/>
      <x:c r="BC110" s="35"/>
      <x:c r="BD110" s="35"/>
      <x:c r="BE110" s="31"/>
      <x:c r="BF110" s="31"/>
    </x:row>
    <x:row r="111">
      <x:c r="A111" s="31"/>
      <x:c r="B111" s="31"/>
      <x:c r="C111" s="33" t="str">
        <x:f>AH111</x:f>
        <x:v>À rechercher</x:v>
      </x:c>
      <x:c r="D111" s="31"/>
      <x:c r="E111" s="31"/>
      <x:c r="F111" s="31"/>
      <x:c r="G111" s="31"/>
      <x:c r="H111" s="31"/>
      <x:c r="I111" s="31"/>
      <x:c r="J111" s="37"/>
      <x:c r="K111" s="31"/>
      <x:c r="L111" s="31"/>
      <x:c r="M111" s="31"/>
      <x:c r="N111" s="31"/>
      <x:c r="O111" s="31"/>
      <x:c r="P111" s="31"/>
      <x:c r="Q111" s="31"/>
      <x:c r="R111" s="31"/>
      <x:c r="S111" s="35"/>
      <x:c r="T111" s="35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9" t="n">
        <x:f>COUNT(V111:AE111)</x:f>
        <x:v>0</x:v>
      </x:c>
      <x:c r="AG111" s="39" t="str">
        <x:f>IF(AF111&gt;=7,SUM(V111:AE111),"")</x:f>
      </x:c>
      <x:c r="AH111" s="33" t="str">
        <x:f>IF(AF111&lt;7,"À rechercher",IF(AG111&gt;=75,"P1",IF(AG111&gt;=60,"P2",IF(AG111&gt;=45,"P3","Faible priorité"))))</x:f>
        <x:v>À rechercher</x:v>
      </x:c>
      <x:c r="AI111" s="31"/>
      <x:c r="AJ111" s="31"/>
      <x:c r="AK111" s="35"/>
      <x:c r="AL111" s="31"/>
      <x:c r="AM111" s="31"/>
      <x:c r="AN111" s="31"/>
      <x:c r="AO111" s="31"/>
      <x:c r="AP111" s="31"/>
      <x:c r="AQ111" s="35"/>
      <x:c r="AR111" s="31"/>
      <x:c r="AS111" s="35"/>
      <x:c r="AT111" s="31"/>
      <x:c r="AU111" s="35"/>
      <x:c r="AV111" s="35"/>
      <x:c r="AW111" s="35"/>
      <x:c r="AX111" s="35"/>
      <x:c r="AY111" s="35"/>
      <x:c r="AZ111" s="35"/>
      <x:c r="BA111" s="35"/>
      <x:c r="BB111" s="35"/>
      <x:c r="BC111" s="35"/>
      <x:c r="BD111" s="35"/>
      <x:c r="BE111" s="31"/>
      <x:c r="BF111" s="31"/>
    </x:row>
    <x:row r="112">
      <x:c r="A112" s="31"/>
      <x:c r="B112" s="31"/>
      <x:c r="C112" s="33" t="str">
        <x:f>AH112</x:f>
        <x:v>À rechercher</x:v>
      </x:c>
      <x:c r="D112" s="31"/>
      <x:c r="E112" s="31"/>
      <x:c r="F112" s="31"/>
      <x:c r="G112" s="31"/>
      <x:c r="H112" s="31"/>
      <x:c r="I112" s="31"/>
      <x:c r="J112" s="37"/>
      <x:c r="K112" s="31"/>
      <x:c r="L112" s="31"/>
      <x:c r="M112" s="31"/>
      <x:c r="N112" s="31"/>
      <x:c r="O112" s="31"/>
      <x:c r="P112" s="31"/>
      <x:c r="Q112" s="31"/>
      <x:c r="R112" s="31"/>
      <x:c r="S112" s="35"/>
      <x:c r="T112" s="35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9" t="n">
        <x:f>COUNT(V112:AE112)</x:f>
        <x:v>0</x:v>
      </x:c>
      <x:c r="AG112" s="39" t="str">
        <x:f>IF(AF112&gt;=7,SUM(V112:AE112),"")</x:f>
      </x:c>
      <x:c r="AH112" s="33" t="str">
        <x:f>IF(AF112&lt;7,"À rechercher",IF(AG112&gt;=75,"P1",IF(AG112&gt;=60,"P2",IF(AG112&gt;=45,"P3","Faible priorité"))))</x:f>
        <x:v>À rechercher</x:v>
      </x:c>
      <x:c r="AI112" s="31"/>
      <x:c r="AJ112" s="31"/>
      <x:c r="AK112" s="35"/>
      <x:c r="AL112" s="31"/>
      <x:c r="AM112" s="31"/>
      <x:c r="AN112" s="31"/>
      <x:c r="AO112" s="31"/>
      <x:c r="AP112" s="31"/>
      <x:c r="AQ112" s="35"/>
      <x:c r="AR112" s="31"/>
      <x:c r="AS112" s="35"/>
      <x:c r="AT112" s="31"/>
      <x:c r="AU112" s="35"/>
      <x:c r="AV112" s="35"/>
      <x:c r="AW112" s="35"/>
      <x:c r="AX112" s="35"/>
      <x:c r="AY112" s="35"/>
      <x:c r="AZ112" s="35"/>
      <x:c r="BA112" s="35"/>
      <x:c r="BB112" s="35"/>
      <x:c r="BC112" s="35"/>
      <x:c r="BD112" s="35"/>
      <x:c r="BE112" s="31"/>
      <x:c r="BF112" s="31"/>
    </x:row>
    <x:row r="113">
      <x:c r="A113" s="31"/>
      <x:c r="B113" s="31"/>
      <x:c r="C113" s="33" t="str">
        <x:f>AH113</x:f>
        <x:v>À rechercher</x:v>
      </x:c>
      <x:c r="D113" s="31"/>
      <x:c r="E113" s="31"/>
      <x:c r="F113" s="31"/>
      <x:c r="G113" s="31"/>
      <x:c r="H113" s="31"/>
      <x:c r="I113" s="31"/>
      <x:c r="J113" s="37"/>
      <x:c r="K113" s="31"/>
      <x:c r="L113" s="31"/>
      <x:c r="M113" s="31"/>
      <x:c r="N113" s="31"/>
      <x:c r="O113" s="31"/>
      <x:c r="P113" s="31"/>
      <x:c r="Q113" s="31"/>
      <x:c r="R113" s="31"/>
      <x:c r="S113" s="35"/>
      <x:c r="T113" s="35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9" t="n">
        <x:f>COUNT(V113:AE113)</x:f>
        <x:v>0</x:v>
      </x:c>
      <x:c r="AG113" s="39" t="str">
        <x:f>IF(AF113&gt;=7,SUM(V113:AE113),"")</x:f>
      </x:c>
      <x:c r="AH113" s="33" t="str">
        <x:f>IF(AF113&lt;7,"À rechercher",IF(AG113&gt;=75,"P1",IF(AG113&gt;=60,"P2",IF(AG113&gt;=45,"P3","Faible priorité"))))</x:f>
        <x:v>À rechercher</x:v>
      </x:c>
      <x:c r="AI113" s="31"/>
      <x:c r="AJ113" s="31"/>
      <x:c r="AK113" s="35"/>
      <x:c r="AL113" s="31"/>
      <x:c r="AM113" s="31"/>
      <x:c r="AN113" s="31"/>
      <x:c r="AO113" s="31"/>
      <x:c r="AP113" s="31"/>
      <x:c r="AQ113" s="35"/>
      <x:c r="AR113" s="31"/>
      <x:c r="AS113" s="35"/>
      <x:c r="AT113" s="31"/>
      <x:c r="AU113" s="35"/>
      <x:c r="AV113" s="35"/>
      <x:c r="AW113" s="35"/>
      <x:c r="AX113" s="35"/>
      <x:c r="AY113" s="35"/>
      <x:c r="AZ113" s="35"/>
      <x:c r="BA113" s="35"/>
      <x:c r="BB113" s="35"/>
      <x:c r="BC113" s="35"/>
      <x:c r="BD113" s="35"/>
      <x:c r="BE113" s="31"/>
      <x:c r="BF113" s="31"/>
    </x:row>
    <x:row r="114">
      <x:c r="A114" s="31"/>
      <x:c r="B114" s="31"/>
      <x:c r="C114" s="33" t="str">
        <x:f>AH114</x:f>
        <x:v>À rechercher</x:v>
      </x:c>
      <x:c r="D114" s="31"/>
      <x:c r="E114" s="31"/>
      <x:c r="F114" s="31"/>
      <x:c r="G114" s="31"/>
      <x:c r="H114" s="31"/>
      <x:c r="I114" s="31"/>
      <x:c r="J114" s="37"/>
      <x:c r="K114" s="31"/>
      <x:c r="L114" s="31"/>
      <x:c r="M114" s="31"/>
      <x:c r="N114" s="31"/>
      <x:c r="O114" s="31"/>
      <x:c r="P114" s="31"/>
      <x:c r="Q114" s="31"/>
      <x:c r="R114" s="31"/>
      <x:c r="S114" s="35"/>
      <x:c r="T114" s="35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9" t="n">
        <x:f>COUNT(V114:AE114)</x:f>
        <x:v>0</x:v>
      </x:c>
      <x:c r="AG114" s="39" t="str">
        <x:f>IF(AF114&gt;=7,SUM(V114:AE114),"")</x:f>
      </x:c>
      <x:c r="AH114" s="33" t="str">
        <x:f>IF(AF114&lt;7,"À rechercher",IF(AG114&gt;=75,"P1",IF(AG114&gt;=60,"P2",IF(AG114&gt;=45,"P3","Faible priorité"))))</x:f>
        <x:v>À rechercher</x:v>
      </x:c>
      <x:c r="AI114" s="31"/>
      <x:c r="AJ114" s="31"/>
      <x:c r="AK114" s="35"/>
      <x:c r="AL114" s="31"/>
      <x:c r="AM114" s="31"/>
      <x:c r="AN114" s="31"/>
      <x:c r="AO114" s="31"/>
      <x:c r="AP114" s="31"/>
      <x:c r="AQ114" s="35"/>
      <x:c r="AR114" s="31"/>
      <x:c r="AS114" s="35"/>
      <x:c r="AT114" s="31"/>
      <x:c r="AU114" s="35"/>
      <x:c r="AV114" s="35"/>
      <x:c r="AW114" s="35"/>
      <x:c r="AX114" s="35"/>
      <x:c r="AY114" s="35"/>
      <x:c r="AZ114" s="35"/>
      <x:c r="BA114" s="35"/>
      <x:c r="BB114" s="35"/>
      <x:c r="BC114" s="35"/>
      <x:c r="BD114" s="35"/>
      <x:c r="BE114" s="31"/>
      <x:c r="BF114" s="31"/>
    </x:row>
    <x:row r="115">
      <x:c r="A115" s="31"/>
      <x:c r="B115" s="31"/>
      <x:c r="C115" s="33" t="str">
        <x:f>AH115</x:f>
        <x:v>À rechercher</x:v>
      </x:c>
      <x:c r="D115" s="31"/>
      <x:c r="E115" s="31"/>
      <x:c r="F115" s="31"/>
      <x:c r="G115" s="31"/>
      <x:c r="H115" s="31"/>
      <x:c r="I115" s="31"/>
      <x:c r="J115" s="37"/>
      <x:c r="K115" s="31"/>
      <x:c r="L115" s="31"/>
      <x:c r="M115" s="31"/>
      <x:c r="N115" s="31"/>
      <x:c r="O115" s="31"/>
      <x:c r="P115" s="31"/>
      <x:c r="Q115" s="31"/>
      <x:c r="R115" s="31"/>
      <x:c r="S115" s="35"/>
      <x:c r="T115" s="35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9" t="n">
        <x:f>COUNT(V115:AE115)</x:f>
        <x:v>0</x:v>
      </x:c>
      <x:c r="AG115" s="39" t="str">
        <x:f>IF(AF115&gt;=7,SUM(V115:AE115),"")</x:f>
      </x:c>
      <x:c r="AH115" s="33" t="str">
        <x:f>IF(AF115&lt;7,"À rechercher",IF(AG115&gt;=75,"P1",IF(AG115&gt;=60,"P2",IF(AG115&gt;=45,"P3","Faible priorité"))))</x:f>
        <x:v>À rechercher</x:v>
      </x:c>
      <x:c r="AI115" s="31"/>
      <x:c r="AJ115" s="31"/>
      <x:c r="AK115" s="35"/>
      <x:c r="AL115" s="31"/>
      <x:c r="AM115" s="31"/>
      <x:c r="AN115" s="31"/>
      <x:c r="AO115" s="31"/>
      <x:c r="AP115" s="31"/>
      <x:c r="AQ115" s="35"/>
      <x:c r="AR115" s="31"/>
      <x:c r="AS115" s="35"/>
      <x:c r="AT115" s="31"/>
      <x:c r="AU115" s="35"/>
      <x:c r="AV115" s="35"/>
      <x:c r="AW115" s="35"/>
      <x:c r="AX115" s="35"/>
      <x:c r="AY115" s="35"/>
      <x:c r="AZ115" s="35"/>
      <x:c r="BA115" s="35"/>
      <x:c r="BB115" s="35"/>
      <x:c r="BC115" s="35"/>
      <x:c r="BD115" s="35"/>
      <x:c r="BE115" s="31"/>
      <x:c r="BF115" s="31"/>
    </x:row>
    <x:row r="116">
      <x:c r="A116" s="31"/>
      <x:c r="B116" s="31"/>
      <x:c r="C116" s="33" t="str">
        <x:f>AH116</x:f>
        <x:v>À rechercher</x:v>
      </x:c>
      <x:c r="D116" s="31"/>
      <x:c r="E116" s="31"/>
      <x:c r="F116" s="31"/>
      <x:c r="G116" s="31"/>
      <x:c r="H116" s="31"/>
      <x:c r="I116" s="31"/>
      <x:c r="J116" s="37"/>
      <x:c r="K116" s="31"/>
      <x:c r="L116" s="31"/>
      <x:c r="M116" s="31"/>
      <x:c r="N116" s="31"/>
      <x:c r="O116" s="31"/>
      <x:c r="P116" s="31"/>
      <x:c r="Q116" s="31"/>
      <x:c r="R116" s="31"/>
      <x:c r="S116" s="35"/>
      <x:c r="T116" s="35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9" t="n">
        <x:f>COUNT(V116:AE116)</x:f>
        <x:v>0</x:v>
      </x:c>
      <x:c r="AG116" s="39" t="str">
        <x:f>IF(AF116&gt;=7,SUM(V116:AE116),"")</x:f>
      </x:c>
      <x:c r="AH116" s="33" t="str">
        <x:f>IF(AF116&lt;7,"À rechercher",IF(AG116&gt;=75,"P1",IF(AG116&gt;=60,"P2",IF(AG116&gt;=45,"P3","Faible priorité"))))</x:f>
        <x:v>À rechercher</x:v>
      </x:c>
      <x:c r="AI116" s="31"/>
      <x:c r="AJ116" s="31"/>
      <x:c r="AK116" s="35"/>
      <x:c r="AL116" s="31"/>
      <x:c r="AM116" s="31"/>
      <x:c r="AN116" s="31"/>
      <x:c r="AO116" s="31"/>
      <x:c r="AP116" s="31"/>
      <x:c r="AQ116" s="35"/>
      <x:c r="AR116" s="31"/>
      <x:c r="AS116" s="35"/>
      <x:c r="AT116" s="31"/>
      <x:c r="AU116" s="35"/>
      <x:c r="AV116" s="35"/>
      <x:c r="AW116" s="35"/>
      <x:c r="AX116" s="35"/>
      <x:c r="AY116" s="35"/>
      <x:c r="AZ116" s="35"/>
      <x:c r="BA116" s="35"/>
      <x:c r="BB116" s="35"/>
      <x:c r="BC116" s="35"/>
      <x:c r="BD116" s="35"/>
      <x:c r="BE116" s="31"/>
      <x:c r="BF116" s="31"/>
    </x:row>
    <x:row r="117">
      <x:c r="A117" s="31"/>
      <x:c r="B117" s="31"/>
      <x:c r="C117" s="33" t="str">
        <x:f>AH117</x:f>
        <x:v>À rechercher</x:v>
      </x:c>
      <x:c r="D117" s="31"/>
      <x:c r="E117" s="31"/>
      <x:c r="F117" s="31"/>
      <x:c r="G117" s="31"/>
      <x:c r="H117" s="31"/>
      <x:c r="I117" s="31"/>
      <x:c r="J117" s="37"/>
      <x:c r="K117" s="31"/>
      <x:c r="L117" s="31"/>
      <x:c r="M117" s="31"/>
      <x:c r="N117" s="31"/>
      <x:c r="O117" s="31"/>
      <x:c r="P117" s="31"/>
      <x:c r="Q117" s="31"/>
      <x:c r="R117" s="31"/>
      <x:c r="S117" s="35"/>
      <x:c r="T117" s="35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9" t="n">
        <x:f>COUNT(V117:AE117)</x:f>
        <x:v>0</x:v>
      </x:c>
      <x:c r="AG117" s="39" t="str">
        <x:f>IF(AF117&gt;=7,SUM(V117:AE117),"")</x:f>
      </x:c>
      <x:c r="AH117" s="33" t="str">
        <x:f>IF(AF117&lt;7,"À rechercher",IF(AG117&gt;=75,"P1",IF(AG117&gt;=60,"P2",IF(AG117&gt;=45,"P3","Faible priorité"))))</x:f>
        <x:v>À rechercher</x:v>
      </x:c>
      <x:c r="AI117" s="31"/>
      <x:c r="AJ117" s="31"/>
      <x:c r="AK117" s="35"/>
      <x:c r="AL117" s="31"/>
      <x:c r="AM117" s="31"/>
      <x:c r="AN117" s="31"/>
      <x:c r="AO117" s="31"/>
      <x:c r="AP117" s="31"/>
      <x:c r="AQ117" s="35"/>
      <x:c r="AR117" s="31"/>
      <x:c r="AS117" s="35"/>
      <x:c r="AT117" s="31"/>
      <x:c r="AU117" s="35"/>
      <x:c r="AV117" s="35"/>
      <x:c r="AW117" s="35"/>
      <x:c r="AX117" s="35"/>
      <x:c r="AY117" s="35"/>
      <x:c r="AZ117" s="35"/>
      <x:c r="BA117" s="35"/>
      <x:c r="BB117" s="35"/>
      <x:c r="BC117" s="35"/>
      <x:c r="BD117" s="35"/>
      <x:c r="BE117" s="31"/>
      <x:c r="BF117" s="31"/>
    </x:row>
    <x:row r="118">
      <x:c r="A118" s="31"/>
      <x:c r="B118" s="31"/>
      <x:c r="C118" s="33" t="str">
        <x:f>AH118</x:f>
        <x:v>À rechercher</x:v>
      </x:c>
      <x:c r="D118" s="31"/>
      <x:c r="E118" s="31"/>
      <x:c r="F118" s="31"/>
      <x:c r="G118" s="31"/>
      <x:c r="H118" s="31"/>
      <x:c r="I118" s="31"/>
      <x:c r="J118" s="37"/>
      <x:c r="K118" s="31"/>
      <x:c r="L118" s="31"/>
      <x:c r="M118" s="31"/>
      <x:c r="N118" s="31"/>
      <x:c r="O118" s="31"/>
      <x:c r="P118" s="31"/>
      <x:c r="Q118" s="31"/>
      <x:c r="R118" s="31"/>
      <x:c r="S118" s="35"/>
      <x:c r="T118" s="35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9" t="n">
        <x:f>COUNT(V118:AE118)</x:f>
        <x:v>0</x:v>
      </x:c>
      <x:c r="AG118" s="39" t="str">
        <x:f>IF(AF118&gt;=7,SUM(V118:AE118),"")</x:f>
      </x:c>
      <x:c r="AH118" s="33" t="str">
        <x:f>IF(AF118&lt;7,"À rechercher",IF(AG118&gt;=75,"P1",IF(AG118&gt;=60,"P2",IF(AG118&gt;=45,"P3","Faible priorité"))))</x:f>
        <x:v>À rechercher</x:v>
      </x:c>
      <x:c r="AI118" s="31"/>
      <x:c r="AJ118" s="31"/>
      <x:c r="AK118" s="35"/>
      <x:c r="AL118" s="31"/>
      <x:c r="AM118" s="31"/>
      <x:c r="AN118" s="31"/>
      <x:c r="AO118" s="31"/>
      <x:c r="AP118" s="31"/>
      <x:c r="AQ118" s="35"/>
      <x:c r="AR118" s="31"/>
      <x:c r="AS118" s="35"/>
      <x:c r="AT118" s="31"/>
      <x:c r="AU118" s="35"/>
      <x:c r="AV118" s="35"/>
      <x:c r="AW118" s="35"/>
      <x:c r="AX118" s="35"/>
      <x:c r="AY118" s="35"/>
      <x:c r="AZ118" s="35"/>
      <x:c r="BA118" s="35"/>
      <x:c r="BB118" s="35"/>
      <x:c r="BC118" s="35"/>
      <x:c r="BD118" s="35"/>
      <x:c r="BE118" s="31"/>
      <x:c r="BF118" s="31"/>
    </x:row>
    <x:row r="119">
      <x:c r="A119" s="31"/>
      <x:c r="B119" s="31"/>
      <x:c r="C119" s="33" t="str">
        <x:f>AH119</x:f>
        <x:v>À rechercher</x:v>
      </x:c>
      <x:c r="D119" s="31"/>
      <x:c r="E119" s="31"/>
      <x:c r="F119" s="31"/>
      <x:c r="G119" s="31"/>
      <x:c r="H119" s="31"/>
      <x:c r="I119" s="31"/>
      <x:c r="J119" s="37"/>
      <x:c r="K119" s="31"/>
      <x:c r="L119" s="31"/>
      <x:c r="M119" s="31"/>
      <x:c r="N119" s="31"/>
      <x:c r="O119" s="31"/>
      <x:c r="P119" s="31"/>
      <x:c r="Q119" s="31"/>
      <x:c r="R119" s="31"/>
      <x:c r="S119" s="35"/>
      <x:c r="T119" s="35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9" t="n">
        <x:f>COUNT(V119:AE119)</x:f>
        <x:v>0</x:v>
      </x:c>
      <x:c r="AG119" s="39" t="str">
        <x:f>IF(AF119&gt;=7,SUM(V119:AE119),"")</x:f>
      </x:c>
      <x:c r="AH119" s="33" t="str">
        <x:f>IF(AF119&lt;7,"À rechercher",IF(AG119&gt;=75,"P1",IF(AG119&gt;=60,"P2",IF(AG119&gt;=45,"P3","Faible priorité"))))</x:f>
        <x:v>À rechercher</x:v>
      </x:c>
      <x:c r="AI119" s="31"/>
      <x:c r="AJ119" s="31"/>
      <x:c r="AK119" s="35"/>
      <x:c r="AL119" s="31"/>
      <x:c r="AM119" s="31"/>
      <x:c r="AN119" s="31"/>
      <x:c r="AO119" s="31"/>
      <x:c r="AP119" s="31"/>
      <x:c r="AQ119" s="35"/>
      <x:c r="AR119" s="31"/>
      <x:c r="AS119" s="35"/>
      <x:c r="AT119" s="31"/>
      <x:c r="AU119" s="35"/>
      <x:c r="AV119" s="35"/>
      <x:c r="AW119" s="35"/>
      <x:c r="AX119" s="35"/>
      <x:c r="AY119" s="35"/>
      <x:c r="AZ119" s="35"/>
      <x:c r="BA119" s="35"/>
      <x:c r="BB119" s="35"/>
      <x:c r="BC119" s="35"/>
      <x:c r="BD119" s="35"/>
      <x:c r="BE119" s="31"/>
      <x:c r="BF119" s="31"/>
    </x:row>
    <x:row r="120">
      <x:c r="A120" s="31"/>
      <x:c r="B120" s="31"/>
      <x:c r="C120" s="33" t="str">
        <x:f>AH120</x:f>
        <x:v>À rechercher</x:v>
      </x:c>
      <x:c r="D120" s="31"/>
      <x:c r="E120" s="31"/>
      <x:c r="F120" s="31"/>
      <x:c r="G120" s="31"/>
      <x:c r="H120" s="31"/>
      <x:c r="I120" s="31"/>
      <x:c r="J120" s="37"/>
      <x:c r="K120" s="31"/>
      <x:c r="L120" s="31"/>
      <x:c r="M120" s="31"/>
      <x:c r="N120" s="31"/>
      <x:c r="O120" s="31"/>
      <x:c r="P120" s="31"/>
      <x:c r="Q120" s="31"/>
      <x:c r="R120" s="31"/>
      <x:c r="S120" s="35"/>
      <x:c r="T120" s="35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9" t="n">
        <x:f>COUNT(V120:AE120)</x:f>
        <x:v>0</x:v>
      </x:c>
      <x:c r="AG120" s="39" t="str">
        <x:f>IF(AF120&gt;=7,SUM(V120:AE120),"")</x:f>
      </x:c>
      <x:c r="AH120" s="33" t="str">
        <x:f>IF(AF120&lt;7,"À rechercher",IF(AG120&gt;=75,"P1",IF(AG120&gt;=60,"P2",IF(AG120&gt;=45,"P3","Faible priorité"))))</x:f>
        <x:v>À rechercher</x:v>
      </x:c>
      <x:c r="AI120" s="31"/>
      <x:c r="AJ120" s="31"/>
      <x:c r="AK120" s="35"/>
      <x:c r="AL120" s="31"/>
      <x:c r="AM120" s="31"/>
      <x:c r="AN120" s="31"/>
      <x:c r="AO120" s="31"/>
      <x:c r="AP120" s="31"/>
      <x:c r="AQ120" s="35"/>
      <x:c r="AR120" s="31"/>
      <x:c r="AS120" s="35"/>
      <x:c r="AT120" s="31"/>
      <x:c r="AU120" s="35"/>
      <x:c r="AV120" s="35"/>
      <x:c r="AW120" s="35"/>
      <x:c r="AX120" s="35"/>
      <x:c r="AY120" s="35"/>
      <x:c r="AZ120" s="35"/>
      <x:c r="BA120" s="35"/>
      <x:c r="BB120" s="35"/>
      <x:c r="BC120" s="35"/>
      <x:c r="BD120" s="35"/>
      <x:c r="BE120" s="31"/>
      <x:c r="BF120" s="31"/>
    </x:row>
    <x:row r="121">
      <x:c r="A121" s="31"/>
      <x:c r="B121" s="31"/>
      <x:c r="C121" s="33" t="str">
        <x:f>AH121</x:f>
        <x:v>À rechercher</x:v>
      </x:c>
      <x:c r="D121" s="31"/>
      <x:c r="E121" s="31"/>
      <x:c r="F121" s="31"/>
      <x:c r="G121" s="31"/>
      <x:c r="H121" s="31"/>
      <x:c r="I121" s="31"/>
      <x:c r="J121" s="37"/>
      <x:c r="K121" s="31"/>
      <x:c r="L121" s="31"/>
      <x:c r="M121" s="31"/>
      <x:c r="N121" s="31"/>
      <x:c r="O121" s="31"/>
      <x:c r="P121" s="31"/>
      <x:c r="Q121" s="31"/>
      <x:c r="R121" s="31"/>
      <x:c r="S121" s="35"/>
      <x:c r="T121" s="35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9" t="n">
        <x:f>COUNT(V121:AE121)</x:f>
        <x:v>0</x:v>
      </x:c>
      <x:c r="AG121" s="39" t="str">
        <x:f>IF(AF121&gt;=7,SUM(V121:AE121),"")</x:f>
      </x:c>
      <x:c r="AH121" s="33" t="str">
        <x:f>IF(AF121&lt;7,"À rechercher",IF(AG121&gt;=75,"P1",IF(AG121&gt;=60,"P2",IF(AG121&gt;=45,"P3","Faible priorité"))))</x:f>
        <x:v>À rechercher</x:v>
      </x:c>
      <x:c r="AI121" s="31"/>
      <x:c r="AJ121" s="31"/>
      <x:c r="AK121" s="35"/>
      <x:c r="AL121" s="31"/>
      <x:c r="AM121" s="31"/>
      <x:c r="AN121" s="31"/>
      <x:c r="AO121" s="31"/>
      <x:c r="AP121" s="31"/>
      <x:c r="AQ121" s="35"/>
      <x:c r="AR121" s="31"/>
      <x:c r="AS121" s="35"/>
      <x:c r="AT121" s="31"/>
      <x:c r="AU121" s="35"/>
      <x:c r="AV121" s="35"/>
      <x:c r="AW121" s="35"/>
      <x:c r="AX121" s="35"/>
      <x:c r="AY121" s="35"/>
      <x:c r="AZ121" s="35"/>
      <x:c r="BA121" s="35"/>
      <x:c r="BB121" s="35"/>
      <x:c r="BC121" s="35"/>
      <x:c r="BD121" s="35"/>
      <x:c r="BE121" s="31"/>
      <x:c r="BF121" s="31"/>
    </x:row>
    <x:row r="122">
      <x:c r="A122" s="31"/>
      <x:c r="B122" s="31"/>
      <x:c r="C122" s="33" t="str">
        <x:f>AH122</x:f>
        <x:v>À rechercher</x:v>
      </x:c>
      <x:c r="D122" s="31"/>
      <x:c r="E122" s="31"/>
      <x:c r="F122" s="31"/>
      <x:c r="G122" s="31"/>
      <x:c r="H122" s="31"/>
      <x:c r="I122" s="31"/>
      <x:c r="J122" s="37"/>
      <x:c r="K122" s="31"/>
      <x:c r="L122" s="31"/>
      <x:c r="M122" s="31"/>
      <x:c r="N122" s="31"/>
      <x:c r="O122" s="31"/>
      <x:c r="P122" s="31"/>
      <x:c r="Q122" s="31"/>
      <x:c r="R122" s="31"/>
      <x:c r="S122" s="35"/>
      <x:c r="T122" s="35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9" t="n">
        <x:f>COUNT(V122:AE122)</x:f>
        <x:v>0</x:v>
      </x:c>
      <x:c r="AG122" s="39" t="str">
        <x:f>IF(AF122&gt;=7,SUM(V122:AE122),"")</x:f>
      </x:c>
      <x:c r="AH122" s="33" t="str">
        <x:f>IF(AF122&lt;7,"À rechercher",IF(AG122&gt;=75,"P1",IF(AG122&gt;=60,"P2",IF(AG122&gt;=45,"P3","Faible priorité"))))</x:f>
        <x:v>À rechercher</x:v>
      </x:c>
      <x:c r="AI122" s="31"/>
      <x:c r="AJ122" s="31"/>
      <x:c r="AK122" s="35"/>
      <x:c r="AL122" s="31"/>
      <x:c r="AM122" s="31"/>
      <x:c r="AN122" s="31"/>
      <x:c r="AO122" s="31"/>
      <x:c r="AP122" s="31"/>
      <x:c r="AQ122" s="35"/>
      <x:c r="AR122" s="31"/>
      <x:c r="AS122" s="35"/>
      <x:c r="AT122" s="31"/>
      <x:c r="AU122" s="35"/>
      <x:c r="AV122" s="35"/>
      <x:c r="AW122" s="35"/>
      <x:c r="AX122" s="35"/>
      <x:c r="AY122" s="35"/>
      <x:c r="AZ122" s="35"/>
      <x:c r="BA122" s="35"/>
      <x:c r="BB122" s="35"/>
      <x:c r="BC122" s="35"/>
      <x:c r="BD122" s="35"/>
      <x:c r="BE122" s="31"/>
      <x:c r="BF122" s="31"/>
    </x:row>
    <x:row r="123">
      <x:c r="A123" s="31"/>
      <x:c r="B123" s="31"/>
      <x:c r="C123" s="33" t="str">
        <x:f>AH123</x:f>
        <x:v>À rechercher</x:v>
      </x:c>
      <x:c r="D123" s="31"/>
      <x:c r="E123" s="31"/>
      <x:c r="F123" s="31"/>
      <x:c r="G123" s="31"/>
      <x:c r="H123" s="31"/>
      <x:c r="I123" s="31"/>
      <x:c r="J123" s="37"/>
      <x:c r="K123" s="31"/>
      <x:c r="L123" s="31"/>
      <x:c r="M123" s="31"/>
      <x:c r="N123" s="31"/>
      <x:c r="O123" s="31"/>
      <x:c r="P123" s="31"/>
      <x:c r="Q123" s="31"/>
      <x:c r="R123" s="31"/>
      <x:c r="S123" s="35"/>
      <x:c r="T123" s="35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9" t="n">
        <x:f>COUNT(V123:AE123)</x:f>
        <x:v>0</x:v>
      </x:c>
      <x:c r="AG123" s="39" t="str">
        <x:f>IF(AF123&gt;=7,SUM(V123:AE123),"")</x:f>
      </x:c>
      <x:c r="AH123" s="33" t="str">
        <x:f>IF(AF123&lt;7,"À rechercher",IF(AG123&gt;=75,"P1",IF(AG123&gt;=60,"P2",IF(AG123&gt;=45,"P3","Faible priorité"))))</x:f>
        <x:v>À rechercher</x:v>
      </x:c>
      <x:c r="AI123" s="31"/>
      <x:c r="AJ123" s="31"/>
      <x:c r="AK123" s="35"/>
      <x:c r="AL123" s="31"/>
      <x:c r="AM123" s="31"/>
      <x:c r="AN123" s="31"/>
      <x:c r="AO123" s="31"/>
      <x:c r="AP123" s="31"/>
      <x:c r="AQ123" s="35"/>
      <x:c r="AR123" s="31"/>
      <x:c r="AS123" s="35"/>
      <x:c r="AT123" s="31"/>
      <x:c r="AU123" s="35"/>
      <x:c r="AV123" s="35"/>
      <x:c r="AW123" s="35"/>
      <x:c r="AX123" s="35"/>
      <x:c r="AY123" s="35"/>
      <x:c r="AZ123" s="35"/>
      <x:c r="BA123" s="35"/>
      <x:c r="BB123" s="35"/>
      <x:c r="BC123" s="35"/>
      <x:c r="BD123" s="35"/>
      <x:c r="BE123" s="31"/>
      <x:c r="BF123" s="31"/>
    </x:row>
    <x:row r="124">
      <x:c r="A124" s="31"/>
      <x:c r="B124" s="31"/>
      <x:c r="C124" s="33" t="str">
        <x:f>AH124</x:f>
        <x:v>À rechercher</x:v>
      </x:c>
      <x:c r="D124" s="31"/>
      <x:c r="E124" s="31"/>
      <x:c r="F124" s="31"/>
      <x:c r="G124" s="31"/>
      <x:c r="H124" s="31"/>
      <x:c r="I124" s="31"/>
      <x:c r="J124" s="37"/>
      <x:c r="K124" s="31"/>
      <x:c r="L124" s="31"/>
      <x:c r="M124" s="31"/>
      <x:c r="N124" s="31"/>
      <x:c r="O124" s="31"/>
      <x:c r="P124" s="31"/>
      <x:c r="Q124" s="31"/>
      <x:c r="R124" s="31"/>
      <x:c r="S124" s="35"/>
      <x:c r="T124" s="35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9" t="n">
        <x:f>COUNT(V124:AE124)</x:f>
        <x:v>0</x:v>
      </x:c>
      <x:c r="AG124" s="39" t="str">
        <x:f>IF(AF124&gt;=7,SUM(V124:AE124),"")</x:f>
      </x:c>
      <x:c r="AH124" s="33" t="str">
        <x:f>IF(AF124&lt;7,"À rechercher",IF(AG124&gt;=75,"P1",IF(AG124&gt;=60,"P2",IF(AG124&gt;=45,"P3","Faible priorité"))))</x:f>
        <x:v>À rechercher</x:v>
      </x:c>
      <x:c r="AI124" s="31"/>
      <x:c r="AJ124" s="31"/>
      <x:c r="AK124" s="35"/>
      <x:c r="AL124" s="31"/>
      <x:c r="AM124" s="31"/>
      <x:c r="AN124" s="31"/>
      <x:c r="AO124" s="31"/>
      <x:c r="AP124" s="31"/>
      <x:c r="AQ124" s="35"/>
      <x:c r="AR124" s="31"/>
      <x:c r="AS124" s="35"/>
      <x:c r="AT124" s="31"/>
      <x:c r="AU124" s="35"/>
      <x:c r="AV124" s="35"/>
      <x:c r="AW124" s="35"/>
      <x:c r="AX124" s="35"/>
      <x:c r="AY124" s="35"/>
      <x:c r="AZ124" s="35"/>
      <x:c r="BA124" s="35"/>
      <x:c r="BB124" s="35"/>
      <x:c r="BC124" s="35"/>
      <x:c r="BD124" s="35"/>
      <x:c r="BE124" s="31"/>
      <x:c r="BF124" s="31"/>
    </x:row>
    <x:row r="125">
      <x:c r="A125" s="31"/>
      <x:c r="B125" s="31"/>
      <x:c r="C125" s="33" t="str">
        <x:f>AH125</x:f>
        <x:v>À rechercher</x:v>
      </x:c>
      <x:c r="D125" s="31"/>
      <x:c r="E125" s="31"/>
      <x:c r="F125" s="31"/>
      <x:c r="G125" s="31"/>
      <x:c r="H125" s="31"/>
      <x:c r="I125" s="31"/>
      <x:c r="J125" s="37"/>
      <x:c r="K125" s="31"/>
      <x:c r="L125" s="31"/>
      <x:c r="M125" s="31"/>
      <x:c r="N125" s="31"/>
      <x:c r="O125" s="31"/>
      <x:c r="P125" s="31"/>
      <x:c r="Q125" s="31"/>
      <x:c r="R125" s="31"/>
      <x:c r="S125" s="35"/>
      <x:c r="T125" s="35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9" t="n">
        <x:f>COUNT(V125:AE125)</x:f>
        <x:v>0</x:v>
      </x:c>
      <x:c r="AG125" s="39" t="str">
        <x:f>IF(AF125&gt;=7,SUM(V125:AE125),"")</x:f>
      </x:c>
      <x:c r="AH125" s="33" t="str">
        <x:f>IF(AF125&lt;7,"À rechercher",IF(AG125&gt;=75,"P1",IF(AG125&gt;=60,"P2",IF(AG125&gt;=45,"P3","Faible priorité"))))</x:f>
        <x:v>À rechercher</x:v>
      </x:c>
      <x:c r="AI125" s="31"/>
      <x:c r="AJ125" s="31"/>
      <x:c r="AK125" s="35"/>
      <x:c r="AL125" s="31"/>
      <x:c r="AM125" s="31"/>
      <x:c r="AN125" s="31"/>
      <x:c r="AO125" s="31"/>
      <x:c r="AP125" s="31"/>
      <x:c r="AQ125" s="35"/>
      <x:c r="AR125" s="31"/>
      <x:c r="AS125" s="35"/>
      <x:c r="AT125" s="31"/>
      <x:c r="AU125" s="35"/>
      <x:c r="AV125" s="35"/>
      <x:c r="AW125" s="35"/>
      <x:c r="AX125" s="35"/>
      <x:c r="AY125" s="35"/>
      <x:c r="AZ125" s="35"/>
      <x:c r="BA125" s="35"/>
      <x:c r="BB125" s="35"/>
      <x:c r="BC125" s="35"/>
      <x:c r="BD125" s="35"/>
      <x:c r="BE125" s="31"/>
      <x:c r="BF125" s="31"/>
    </x:row>
    <x:row r="126">
      <x:c r="A126" s="31"/>
      <x:c r="B126" s="31"/>
      <x:c r="C126" s="33" t="str">
        <x:f>AH126</x:f>
        <x:v>À rechercher</x:v>
      </x:c>
      <x:c r="D126" s="31"/>
      <x:c r="E126" s="31"/>
      <x:c r="F126" s="31"/>
      <x:c r="G126" s="31"/>
      <x:c r="H126" s="31"/>
      <x:c r="I126" s="31"/>
      <x:c r="J126" s="37"/>
      <x:c r="K126" s="31"/>
      <x:c r="L126" s="31"/>
      <x:c r="M126" s="31"/>
      <x:c r="N126" s="31"/>
      <x:c r="O126" s="31"/>
      <x:c r="P126" s="31"/>
      <x:c r="Q126" s="31"/>
      <x:c r="R126" s="31"/>
      <x:c r="S126" s="35"/>
      <x:c r="T126" s="35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9" t="n">
        <x:f>COUNT(V126:AE126)</x:f>
        <x:v>0</x:v>
      </x:c>
      <x:c r="AG126" s="39" t="str">
        <x:f>IF(AF126&gt;=7,SUM(V126:AE126),"")</x:f>
      </x:c>
      <x:c r="AH126" s="33" t="str">
        <x:f>IF(AF126&lt;7,"À rechercher",IF(AG126&gt;=75,"P1",IF(AG126&gt;=60,"P2",IF(AG126&gt;=45,"P3","Faible priorité"))))</x:f>
        <x:v>À rechercher</x:v>
      </x:c>
      <x:c r="AI126" s="31"/>
      <x:c r="AJ126" s="31"/>
      <x:c r="AK126" s="35"/>
      <x:c r="AL126" s="31"/>
      <x:c r="AM126" s="31"/>
      <x:c r="AN126" s="31"/>
      <x:c r="AO126" s="31"/>
      <x:c r="AP126" s="31"/>
      <x:c r="AQ126" s="35"/>
      <x:c r="AR126" s="31"/>
      <x:c r="AS126" s="35"/>
      <x:c r="AT126" s="31"/>
      <x:c r="AU126" s="35"/>
      <x:c r="AV126" s="35"/>
      <x:c r="AW126" s="35"/>
      <x:c r="AX126" s="35"/>
      <x:c r="AY126" s="35"/>
      <x:c r="AZ126" s="35"/>
      <x:c r="BA126" s="35"/>
      <x:c r="BB126" s="35"/>
      <x:c r="BC126" s="35"/>
      <x:c r="BD126" s="35"/>
      <x:c r="BE126" s="31"/>
      <x:c r="BF126" s="31"/>
    </x:row>
    <x:row r="127">
      <x:c r="A127" s="31"/>
      <x:c r="B127" s="31"/>
      <x:c r="C127" s="33" t="str">
        <x:f>AH127</x:f>
        <x:v>À rechercher</x:v>
      </x:c>
      <x:c r="D127" s="31"/>
      <x:c r="E127" s="31"/>
      <x:c r="F127" s="31"/>
      <x:c r="G127" s="31"/>
      <x:c r="H127" s="31"/>
      <x:c r="I127" s="31"/>
      <x:c r="J127" s="37"/>
      <x:c r="K127" s="31"/>
      <x:c r="L127" s="31"/>
      <x:c r="M127" s="31"/>
      <x:c r="N127" s="31"/>
      <x:c r="O127" s="31"/>
      <x:c r="P127" s="31"/>
      <x:c r="Q127" s="31"/>
      <x:c r="R127" s="31"/>
      <x:c r="S127" s="35"/>
      <x:c r="T127" s="35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9" t="n">
        <x:f>COUNT(V127:AE127)</x:f>
        <x:v>0</x:v>
      </x:c>
      <x:c r="AG127" s="39" t="str">
        <x:f>IF(AF127&gt;=7,SUM(V127:AE127),"")</x:f>
      </x:c>
      <x:c r="AH127" s="33" t="str">
        <x:f>IF(AF127&lt;7,"À rechercher",IF(AG127&gt;=75,"P1",IF(AG127&gt;=60,"P2",IF(AG127&gt;=45,"P3","Faible priorité"))))</x:f>
        <x:v>À rechercher</x:v>
      </x:c>
      <x:c r="AI127" s="31"/>
      <x:c r="AJ127" s="31"/>
      <x:c r="AK127" s="35"/>
      <x:c r="AL127" s="31"/>
      <x:c r="AM127" s="31"/>
      <x:c r="AN127" s="31"/>
      <x:c r="AO127" s="31"/>
      <x:c r="AP127" s="31"/>
      <x:c r="AQ127" s="35"/>
      <x:c r="AR127" s="31"/>
      <x:c r="AS127" s="35"/>
      <x:c r="AT127" s="31"/>
      <x:c r="AU127" s="35"/>
      <x:c r="AV127" s="35"/>
      <x:c r="AW127" s="35"/>
      <x:c r="AX127" s="35"/>
      <x:c r="AY127" s="35"/>
      <x:c r="AZ127" s="35"/>
      <x:c r="BA127" s="35"/>
      <x:c r="BB127" s="35"/>
      <x:c r="BC127" s="35"/>
      <x:c r="BD127" s="35"/>
      <x:c r="BE127" s="31"/>
      <x:c r="BF127" s="31"/>
    </x:row>
    <x:row r="128">
      <x:c r="A128" s="31"/>
      <x:c r="B128" s="31"/>
      <x:c r="C128" s="33" t="str">
        <x:f>AH128</x:f>
        <x:v>À rechercher</x:v>
      </x:c>
      <x:c r="D128" s="31"/>
      <x:c r="E128" s="31"/>
      <x:c r="F128" s="31"/>
      <x:c r="G128" s="31"/>
      <x:c r="H128" s="31"/>
      <x:c r="I128" s="31"/>
      <x:c r="J128" s="37"/>
      <x:c r="K128" s="31"/>
      <x:c r="L128" s="31"/>
      <x:c r="M128" s="31"/>
      <x:c r="N128" s="31"/>
      <x:c r="O128" s="31"/>
      <x:c r="P128" s="31"/>
      <x:c r="Q128" s="31"/>
      <x:c r="R128" s="31"/>
      <x:c r="S128" s="35"/>
      <x:c r="T128" s="35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9" t="n">
        <x:f>COUNT(V128:AE128)</x:f>
        <x:v>0</x:v>
      </x:c>
      <x:c r="AG128" s="39" t="str">
        <x:f>IF(AF128&gt;=7,SUM(V128:AE128),"")</x:f>
      </x:c>
      <x:c r="AH128" s="33" t="str">
        <x:f>IF(AF128&lt;7,"À rechercher",IF(AG128&gt;=75,"P1",IF(AG128&gt;=60,"P2",IF(AG128&gt;=45,"P3","Faible priorité"))))</x:f>
        <x:v>À rechercher</x:v>
      </x:c>
      <x:c r="AI128" s="31"/>
      <x:c r="AJ128" s="31"/>
      <x:c r="AK128" s="35"/>
      <x:c r="AL128" s="31"/>
      <x:c r="AM128" s="31"/>
      <x:c r="AN128" s="31"/>
      <x:c r="AO128" s="31"/>
      <x:c r="AP128" s="31"/>
      <x:c r="AQ128" s="35"/>
      <x:c r="AR128" s="31"/>
      <x:c r="AS128" s="35"/>
      <x:c r="AT128" s="31"/>
      <x:c r="AU128" s="35"/>
      <x:c r="AV128" s="35"/>
      <x:c r="AW128" s="35"/>
      <x:c r="AX128" s="35"/>
      <x:c r="AY128" s="35"/>
      <x:c r="AZ128" s="35"/>
      <x:c r="BA128" s="35"/>
      <x:c r="BB128" s="35"/>
      <x:c r="BC128" s="35"/>
      <x:c r="BD128" s="35"/>
      <x:c r="BE128" s="31"/>
      <x:c r="BF128" s="31"/>
    </x:row>
    <x:row r="129">
      <x:c r="A129" s="31"/>
      <x:c r="B129" s="31"/>
      <x:c r="C129" s="33" t="str">
        <x:f>AH129</x:f>
        <x:v>À rechercher</x:v>
      </x:c>
      <x:c r="D129" s="31"/>
      <x:c r="E129" s="31"/>
      <x:c r="F129" s="31"/>
      <x:c r="G129" s="31"/>
      <x:c r="H129" s="31"/>
      <x:c r="I129" s="31"/>
      <x:c r="J129" s="37"/>
      <x:c r="K129" s="31"/>
      <x:c r="L129" s="31"/>
      <x:c r="M129" s="31"/>
      <x:c r="N129" s="31"/>
      <x:c r="O129" s="31"/>
      <x:c r="P129" s="31"/>
      <x:c r="Q129" s="31"/>
      <x:c r="R129" s="31"/>
      <x:c r="S129" s="35"/>
      <x:c r="T129" s="35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9" t="n">
        <x:f>COUNT(V129:AE129)</x:f>
        <x:v>0</x:v>
      </x:c>
      <x:c r="AG129" s="39" t="str">
        <x:f>IF(AF129&gt;=7,SUM(V129:AE129),"")</x:f>
      </x:c>
      <x:c r="AH129" s="33" t="str">
        <x:f>IF(AF129&lt;7,"À rechercher",IF(AG129&gt;=75,"P1",IF(AG129&gt;=60,"P2",IF(AG129&gt;=45,"P3","Faible priorité"))))</x:f>
        <x:v>À rechercher</x:v>
      </x:c>
      <x:c r="AI129" s="31"/>
      <x:c r="AJ129" s="31"/>
      <x:c r="AK129" s="35"/>
      <x:c r="AL129" s="31"/>
      <x:c r="AM129" s="31"/>
      <x:c r="AN129" s="31"/>
      <x:c r="AO129" s="31"/>
      <x:c r="AP129" s="31"/>
      <x:c r="AQ129" s="35"/>
      <x:c r="AR129" s="31"/>
      <x:c r="AS129" s="35"/>
      <x:c r="AT129" s="31"/>
      <x:c r="AU129" s="35"/>
      <x:c r="AV129" s="35"/>
      <x:c r="AW129" s="35"/>
      <x:c r="AX129" s="35"/>
      <x:c r="AY129" s="35"/>
      <x:c r="AZ129" s="35"/>
      <x:c r="BA129" s="35"/>
      <x:c r="BB129" s="35"/>
      <x:c r="BC129" s="35"/>
      <x:c r="BD129" s="35"/>
      <x:c r="BE129" s="31"/>
      <x:c r="BF129" s="31"/>
    </x:row>
    <x:row r="130">
      <x:c r="A130" s="31"/>
      <x:c r="B130" s="31"/>
      <x:c r="C130" s="33" t="str">
        <x:f>AH130</x:f>
        <x:v>À rechercher</x:v>
      </x:c>
      <x:c r="D130" s="31"/>
      <x:c r="E130" s="31"/>
      <x:c r="F130" s="31"/>
      <x:c r="G130" s="31"/>
      <x:c r="H130" s="31"/>
      <x:c r="I130" s="31"/>
      <x:c r="J130" s="37"/>
      <x:c r="K130" s="31"/>
      <x:c r="L130" s="31"/>
      <x:c r="M130" s="31"/>
      <x:c r="N130" s="31"/>
      <x:c r="O130" s="31"/>
      <x:c r="P130" s="31"/>
      <x:c r="Q130" s="31"/>
      <x:c r="R130" s="31"/>
      <x:c r="S130" s="35"/>
      <x:c r="T130" s="35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9" t="n">
        <x:f>COUNT(V130:AE130)</x:f>
        <x:v>0</x:v>
      </x:c>
      <x:c r="AG130" s="39" t="str">
        <x:f>IF(AF130&gt;=7,SUM(V130:AE130),"")</x:f>
      </x:c>
      <x:c r="AH130" s="33" t="str">
        <x:f>IF(AF130&lt;7,"À rechercher",IF(AG130&gt;=75,"P1",IF(AG130&gt;=60,"P2",IF(AG130&gt;=45,"P3","Faible priorité"))))</x:f>
        <x:v>À rechercher</x:v>
      </x:c>
      <x:c r="AI130" s="31"/>
      <x:c r="AJ130" s="31"/>
      <x:c r="AK130" s="35"/>
      <x:c r="AL130" s="31"/>
      <x:c r="AM130" s="31"/>
      <x:c r="AN130" s="31"/>
      <x:c r="AO130" s="31"/>
      <x:c r="AP130" s="31"/>
      <x:c r="AQ130" s="35"/>
      <x:c r="AR130" s="31"/>
      <x:c r="AS130" s="35"/>
      <x:c r="AT130" s="31"/>
      <x:c r="AU130" s="35"/>
      <x:c r="AV130" s="35"/>
      <x:c r="AW130" s="35"/>
      <x:c r="AX130" s="35"/>
      <x:c r="AY130" s="35"/>
      <x:c r="AZ130" s="35"/>
      <x:c r="BA130" s="35"/>
      <x:c r="BB130" s="35"/>
      <x:c r="BC130" s="35"/>
      <x:c r="BD130" s="35"/>
      <x:c r="BE130" s="31"/>
      <x:c r="BF130" s="31"/>
    </x:row>
    <x:row r="131">
      <x:c r="A131" s="31"/>
      <x:c r="B131" s="31"/>
      <x:c r="C131" s="33" t="str">
        <x:f>AH131</x:f>
        <x:v>À rechercher</x:v>
      </x:c>
      <x:c r="D131" s="31"/>
      <x:c r="E131" s="31"/>
      <x:c r="F131" s="31"/>
      <x:c r="G131" s="31"/>
      <x:c r="H131" s="31"/>
      <x:c r="I131" s="31"/>
      <x:c r="J131" s="37"/>
      <x:c r="K131" s="31"/>
      <x:c r="L131" s="31"/>
      <x:c r="M131" s="31"/>
      <x:c r="N131" s="31"/>
      <x:c r="O131" s="31"/>
      <x:c r="P131" s="31"/>
      <x:c r="Q131" s="31"/>
      <x:c r="R131" s="31"/>
      <x:c r="S131" s="35"/>
      <x:c r="T131" s="35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9" t="n">
        <x:f>COUNT(V131:AE131)</x:f>
        <x:v>0</x:v>
      </x:c>
      <x:c r="AG131" s="39" t="str">
        <x:f>IF(AF131&gt;=7,SUM(V131:AE131),"")</x:f>
      </x:c>
      <x:c r="AH131" s="33" t="str">
        <x:f>IF(AF131&lt;7,"À rechercher",IF(AG131&gt;=75,"P1",IF(AG131&gt;=60,"P2",IF(AG131&gt;=45,"P3","Faible priorité"))))</x:f>
        <x:v>À rechercher</x:v>
      </x:c>
      <x:c r="AI131" s="31"/>
      <x:c r="AJ131" s="31"/>
      <x:c r="AK131" s="35"/>
      <x:c r="AL131" s="31"/>
      <x:c r="AM131" s="31"/>
      <x:c r="AN131" s="31"/>
      <x:c r="AO131" s="31"/>
      <x:c r="AP131" s="31"/>
      <x:c r="AQ131" s="35"/>
      <x:c r="AR131" s="31"/>
      <x:c r="AS131" s="35"/>
      <x:c r="AT131" s="31"/>
      <x:c r="AU131" s="35"/>
      <x:c r="AV131" s="35"/>
      <x:c r="AW131" s="35"/>
      <x:c r="AX131" s="35"/>
      <x:c r="AY131" s="35"/>
      <x:c r="AZ131" s="35"/>
      <x:c r="BA131" s="35"/>
      <x:c r="BB131" s="35"/>
      <x:c r="BC131" s="35"/>
      <x:c r="BD131" s="35"/>
      <x:c r="BE131" s="31"/>
      <x:c r="BF131" s="31"/>
    </x:row>
    <x:row r="132">
      <x:c r="A132" s="31"/>
      <x:c r="B132" s="31"/>
      <x:c r="C132" s="33" t="str">
        <x:f>AH132</x:f>
        <x:v>À rechercher</x:v>
      </x:c>
      <x:c r="D132" s="31"/>
      <x:c r="E132" s="31"/>
      <x:c r="F132" s="31"/>
      <x:c r="G132" s="31"/>
      <x:c r="H132" s="31"/>
      <x:c r="I132" s="31"/>
      <x:c r="J132" s="37"/>
      <x:c r="K132" s="31"/>
      <x:c r="L132" s="31"/>
      <x:c r="M132" s="31"/>
      <x:c r="N132" s="31"/>
      <x:c r="O132" s="31"/>
      <x:c r="P132" s="31"/>
      <x:c r="Q132" s="31"/>
      <x:c r="R132" s="31"/>
      <x:c r="S132" s="35"/>
      <x:c r="T132" s="35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9" t="n">
        <x:f>COUNT(V132:AE132)</x:f>
        <x:v>0</x:v>
      </x:c>
      <x:c r="AG132" s="39" t="str">
        <x:f>IF(AF132&gt;=7,SUM(V132:AE132),"")</x:f>
      </x:c>
      <x:c r="AH132" s="33" t="str">
        <x:f>IF(AF132&lt;7,"À rechercher",IF(AG132&gt;=75,"P1",IF(AG132&gt;=60,"P2",IF(AG132&gt;=45,"P3","Faible priorité"))))</x:f>
        <x:v>À rechercher</x:v>
      </x:c>
      <x:c r="AI132" s="31"/>
      <x:c r="AJ132" s="31"/>
      <x:c r="AK132" s="35"/>
      <x:c r="AL132" s="31"/>
      <x:c r="AM132" s="31"/>
      <x:c r="AN132" s="31"/>
      <x:c r="AO132" s="31"/>
      <x:c r="AP132" s="31"/>
      <x:c r="AQ132" s="35"/>
      <x:c r="AR132" s="31"/>
      <x:c r="AS132" s="35"/>
      <x:c r="AT132" s="31"/>
      <x:c r="AU132" s="35"/>
      <x:c r="AV132" s="35"/>
      <x:c r="AW132" s="35"/>
      <x:c r="AX132" s="35"/>
      <x:c r="AY132" s="35"/>
      <x:c r="AZ132" s="35"/>
      <x:c r="BA132" s="35"/>
      <x:c r="BB132" s="35"/>
      <x:c r="BC132" s="35"/>
      <x:c r="BD132" s="35"/>
      <x:c r="BE132" s="31"/>
      <x:c r="BF132" s="31"/>
    </x:row>
    <x:row r="133">
      <x:c r="A133" s="31"/>
      <x:c r="B133" s="31"/>
      <x:c r="C133" s="33" t="str">
        <x:f>AH133</x:f>
        <x:v>À rechercher</x:v>
      </x:c>
      <x:c r="D133" s="31"/>
      <x:c r="E133" s="31"/>
      <x:c r="F133" s="31"/>
      <x:c r="G133" s="31"/>
      <x:c r="H133" s="31"/>
      <x:c r="I133" s="31"/>
      <x:c r="J133" s="37"/>
      <x:c r="K133" s="31"/>
      <x:c r="L133" s="31"/>
      <x:c r="M133" s="31"/>
      <x:c r="N133" s="31"/>
      <x:c r="O133" s="31"/>
      <x:c r="P133" s="31"/>
      <x:c r="Q133" s="31"/>
      <x:c r="R133" s="31"/>
      <x:c r="S133" s="35"/>
      <x:c r="T133" s="35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9" t="n">
        <x:f>COUNT(V133:AE133)</x:f>
        <x:v>0</x:v>
      </x:c>
      <x:c r="AG133" s="39" t="str">
        <x:f>IF(AF133&gt;=7,SUM(V133:AE133),"")</x:f>
      </x:c>
      <x:c r="AH133" s="33" t="str">
        <x:f>IF(AF133&lt;7,"À rechercher",IF(AG133&gt;=75,"P1",IF(AG133&gt;=60,"P2",IF(AG133&gt;=45,"P3","Faible priorité"))))</x:f>
        <x:v>À rechercher</x:v>
      </x:c>
      <x:c r="AI133" s="31"/>
      <x:c r="AJ133" s="31"/>
      <x:c r="AK133" s="35"/>
      <x:c r="AL133" s="31"/>
      <x:c r="AM133" s="31"/>
      <x:c r="AN133" s="31"/>
      <x:c r="AO133" s="31"/>
      <x:c r="AP133" s="31"/>
      <x:c r="AQ133" s="35"/>
      <x:c r="AR133" s="31"/>
      <x:c r="AS133" s="35"/>
      <x:c r="AT133" s="31"/>
      <x:c r="AU133" s="35"/>
      <x:c r="AV133" s="35"/>
      <x:c r="AW133" s="35"/>
      <x:c r="AX133" s="35"/>
      <x:c r="AY133" s="35"/>
      <x:c r="AZ133" s="35"/>
      <x:c r="BA133" s="35"/>
      <x:c r="BB133" s="35"/>
      <x:c r="BC133" s="35"/>
      <x:c r="BD133" s="35"/>
      <x:c r="BE133" s="31"/>
      <x:c r="BF133" s="31"/>
    </x:row>
    <x:row r="134">
      <x:c r="A134" s="31"/>
      <x:c r="B134" s="31"/>
      <x:c r="C134" s="33" t="str">
        <x:f>AH134</x:f>
        <x:v>À rechercher</x:v>
      </x:c>
      <x:c r="D134" s="31"/>
      <x:c r="E134" s="31"/>
      <x:c r="F134" s="31"/>
      <x:c r="G134" s="31"/>
      <x:c r="H134" s="31"/>
      <x:c r="I134" s="31"/>
      <x:c r="J134" s="37"/>
      <x:c r="K134" s="31"/>
      <x:c r="L134" s="31"/>
      <x:c r="M134" s="31"/>
      <x:c r="N134" s="31"/>
      <x:c r="O134" s="31"/>
      <x:c r="P134" s="31"/>
      <x:c r="Q134" s="31"/>
      <x:c r="R134" s="31"/>
      <x:c r="S134" s="35"/>
      <x:c r="T134" s="35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9" t="n">
        <x:f>COUNT(V134:AE134)</x:f>
        <x:v>0</x:v>
      </x:c>
      <x:c r="AG134" s="39" t="str">
        <x:f>IF(AF134&gt;=7,SUM(V134:AE134),"")</x:f>
      </x:c>
      <x:c r="AH134" s="33" t="str">
        <x:f>IF(AF134&lt;7,"À rechercher",IF(AG134&gt;=75,"P1",IF(AG134&gt;=60,"P2",IF(AG134&gt;=45,"P3","Faible priorité"))))</x:f>
        <x:v>À rechercher</x:v>
      </x:c>
      <x:c r="AI134" s="31"/>
      <x:c r="AJ134" s="31"/>
      <x:c r="AK134" s="35"/>
      <x:c r="AL134" s="31"/>
      <x:c r="AM134" s="31"/>
      <x:c r="AN134" s="31"/>
      <x:c r="AO134" s="31"/>
      <x:c r="AP134" s="31"/>
      <x:c r="AQ134" s="35"/>
      <x:c r="AR134" s="31"/>
      <x:c r="AS134" s="35"/>
      <x:c r="AT134" s="31"/>
      <x:c r="AU134" s="35"/>
      <x:c r="AV134" s="35"/>
      <x:c r="AW134" s="35"/>
      <x:c r="AX134" s="35"/>
      <x:c r="AY134" s="35"/>
      <x:c r="AZ134" s="35"/>
      <x:c r="BA134" s="35"/>
      <x:c r="BB134" s="35"/>
      <x:c r="BC134" s="35"/>
      <x:c r="BD134" s="35"/>
      <x:c r="BE134" s="31"/>
      <x:c r="BF134" s="31"/>
    </x:row>
    <x:row r="135">
      <x:c r="A135" s="31"/>
      <x:c r="B135" s="31"/>
      <x:c r="C135" s="33" t="str">
        <x:f>AH135</x:f>
        <x:v>À rechercher</x:v>
      </x:c>
      <x:c r="D135" s="31"/>
      <x:c r="E135" s="31"/>
      <x:c r="F135" s="31"/>
      <x:c r="G135" s="31"/>
      <x:c r="H135" s="31"/>
      <x:c r="I135" s="31"/>
      <x:c r="J135" s="37"/>
      <x:c r="K135" s="31"/>
      <x:c r="L135" s="31"/>
      <x:c r="M135" s="31"/>
      <x:c r="N135" s="31"/>
      <x:c r="O135" s="31"/>
      <x:c r="P135" s="31"/>
      <x:c r="Q135" s="31"/>
      <x:c r="R135" s="31"/>
      <x:c r="S135" s="35"/>
      <x:c r="T135" s="35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9" t="n">
        <x:f>COUNT(V135:AE135)</x:f>
        <x:v>0</x:v>
      </x:c>
      <x:c r="AG135" s="39" t="str">
        <x:f>IF(AF135&gt;=7,SUM(V135:AE135),"")</x:f>
      </x:c>
      <x:c r="AH135" s="33" t="str">
        <x:f>IF(AF135&lt;7,"À rechercher",IF(AG135&gt;=75,"P1",IF(AG135&gt;=60,"P2",IF(AG135&gt;=45,"P3","Faible priorité"))))</x:f>
        <x:v>À rechercher</x:v>
      </x:c>
      <x:c r="AI135" s="31"/>
      <x:c r="AJ135" s="31"/>
      <x:c r="AK135" s="35"/>
      <x:c r="AL135" s="31"/>
      <x:c r="AM135" s="31"/>
      <x:c r="AN135" s="31"/>
      <x:c r="AO135" s="31"/>
      <x:c r="AP135" s="31"/>
      <x:c r="AQ135" s="35"/>
      <x:c r="AR135" s="31"/>
      <x:c r="AS135" s="35"/>
      <x:c r="AT135" s="31"/>
      <x:c r="AU135" s="35"/>
      <x:c r="AV135" s="35"/>
      <x:c r="AW135" s="35"/>
      <x:c r="AX135" s="35"/>
      <x:c r="AY135" s="35"/>
      <x:c r="AZ135" s="35"/>
      <x:c r="BA135" s="35"/>
      <x:c r="BB135" s="35"/>
      <x:c r="BC135" s="35"/>
      <x:c r="BD135" s="35"/>
      <x:c r="BE135" s="31"/>
      <x:c r="BF135" s="31"/>
    </x:row>
    <x:row r="136">
      <x:c r="A136" s="31"/>
      <x:c r="B136" s="31"/>
      <x:c r="C136" s="33" t="str">
        <x:f>AH136</x:f>
        <x:v>À rechercher</x:v>
      </x:c>
      <x:c r="D136" s="31"/>
      <x:c r="E136" s="31"/>
      <x:c r="F136" s="31"/>
      <x:c r="G136" s="31"/>
      <x:c r="H136" s="31"/>
      <x:c r="I136" s="31"/>
      <x:c r="J136" s="37"/>
      <x:c r="K136" s="31"/>
      <x:c r="L136" s="31"/>
      <x:c r="M136" s="31"/>
      <x:c r="N136" s="31"/>
      <x:c r="O136" s="31"/>
      <x:c r="P136" s="31"/>
      <x:c r="Q136" s="31"/>
      <x:c r="R136" s="31"/>
      <x:c r="S136" s="35"/>
      <x:c r="T136" s="35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9" t="n">
        <x:f>COUNT(V136:AE136)</x:f>
        <x:v>0</x:v>
      </x:c>
      <x:c r="AG136" s="39" t="str">
        <x:f>IF(AF136&gt;=7,SUM(V136:AE136),"")</x:f>
      </x:c>
      <x:c r="AH136" s="33" t="str">
        <x:f>IF(AF136&lt;7,"À rechercher",IF(AG136&gt;=75,"P1",IF(AG136&gt;=60,"P2",IF(AG136&gt;=45,"P3","Faible priorité"))))</x:f>
        <x:v>À rechercher</x:v>
      </x:c>
      <x:c r="AI136" s="31"/>
      <x:c r="AJ136" s="31"/>
      <x:c r="AK136" s="35"/>
      <x:c r="AL136" s="31"/>
      <x:c r="AM136" s="31"/>
      <x:c r="AN136" s="31"/>
      <x:c r="AO136" s="31"/>
      <x:c r="AP136" s="31"/>
      <x:c r="AQ136" s="35"/>
      <x:c r="AR136" s="31"/>
      <x:c r="AS136" s="35"/>
      <x:c r="AT136" s="31"/>
      <x:c r="AU136" s="35"/>
      <x:c r="AV136" s="35"/>
      <x:c r="AW136" s="35"/>
      <x:c r="AX136" s="35"/>
      <x:c r="AY136" s="35"/>
      <x:c r="AZ136" s="35"/>
      <x:c r="BA136" s="35"/>
      <x:c r="BB136" s="35"/>
      <x:c r="BC136" s="35"/>
      <x:c r="BD136" s="35"/>
      <x:c r="BE136" s="31"/>
      <x:c r="BF136" s="31"/>
    </x:row>
    <x:row r="137">
      <x:c r="A137" s="31"/>
      <x:c r="B137" s="31"/>
      <x:c r="C137" s="33" t="str">
        <x:f>AH137</x:f>
        <x:v>À rechercher</x:v>
      </x:c>
      <x:c r="D137" s="31"/>
      <x:c r="E137" s="31"/>
      <x:c r="F137" s="31"/>
      <x:c r="G137" s="31"/>
      <x:c r="H137" s="31"/>
      <x:c r="I137" s="31"/>
      <x:c r="J137" s="37"/>
      <x:c r="K137" s="31"/>
      <x:c r="L137" s="31"/>
      <x:c r="M137" s="31"/>
      <x:c r="N137" s="31"/>
      <x:c r="O137" s="31"/>
      <x:c r="P137" s="31"/>
      <x:c r="Q137" s="31"/>
      <x:c r="R137" s="31"/>
      <x:c r="S137" s="35"/>
      <x:c r="T137" s="35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9" t="n">
        <x:f>COUNT(V137:AE137)</x:f>
        <x:v>0</x:v>
      </x:c>
      <x:c r="AG137" s="39" t="str">
        <x:f>IF(AF137&gt;=7,SUM(V137:AE137),"")</x:f>
      </x:c>
      <x:c r="AH137" s="33" t="str">
        <x:f>IF(AF137&lt;7,"À rechercher",IF(AG137&gt;=75,"P1",IF(AG137&gt;=60,"P2",IF(AG137&gt;=45,"P3","Faible priorité"))))</x:f>
        <x:v>À rechercher</x:v>
      </x:c>
      <x:c r="AI137" s="31"/>
      <x:c r="AJ137" s="31"/>
      <x:c r="AK137" s="35"/>
      <x:c r="AL137" s="31"/>
      <x:c r="AM137" s="31"/>
      <x:c r="AN137" s="31"/>
      <x:c r="AO137" s="31"/>
      <x:c r="AP137" s="31"/>
      <x:c r="AQ137" s="35"/>
      <x:c r="AR137" s="31"/>
      <x:c r="AS137" s="35"/>
      <x:c r="AT137" s="31"/>
      <x:c r="AU137" s="35"/>
      <x:c r="AV137" s="35"/>
      <x:c r="AW137" s="35"/>
      <x:c r="AX137" s="35"/>
      <x:c r="AY137" s="35"/>
      <x:c r="AZ137" s="35"/>
      <x:c r="BA137" s="35"/>
      <x:c r="BB137" s="35"/>
      <x:c r="BC137" s="35"/>
      <x:c r="BD137" s="35"/>
      <x:c r="BE137" s="31"/>
      <x:c r="BF137" s="31"/>
    </x:row>
    <x:row r="138">
      <x:c r="A138" s="31"/>
      <x:c r="B138" s="31"/>
      <x:c r="C138" s="33" t="str">
        <x:f>AH138</x:f>
        <x:v>À rechercher</x:v>
      </x:c>
      <x:c r="D138" s="31"/>
      <x:c r="E138" s="31"/>
      <x:c r="F138" s="31"/>
      <x:c r="G138" s="31"/>
      <x:c r="H138" s="31"/>
      <x:c r="I138" s="31"/>
      <x:c r="J138" s="37"/>
      <x:c r="K138" s="31"/>
      <x:c r="L138" s="31"/>
      <x:c r="M138" s="31"/>
      <x:c r="N138" s="31"/>
      <x:c r="O138" s="31"/>
      <x:c r="P138" s="31"/>
      <x:c r="Q138" s="31"/>
      <x:c r="R138" s="31"/>
      <x:c r="S138" s="35"/>
      <x:c r="T138" s="35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9" t="n">
        <x:f>COUNT(V138:AE138)</x:f>
        <x:v>0</x:v>
      </x:c>
      <x:c r="AG138" s="39" t="str">
        <x:f>IF(AF138&gt;=7,SUM(V138:AE138),"")</x:f>
      </x:c>
      <x:c r="AH138" s="33" t="str">
        <x:f>IF(AF138&lt;7,"À rechercher",IF(AG138&gt;=75,"P1",IF(AG138&gt;=60,"P2",IF(AG138&gt;=45,"P3","Faible priorité"))))</x:f>
        <x:v>À rechercher</x:v>
      </x:c>
      <x:c r="AI138" s="31"/>
      <x:c r="AJ138" s="31"/>
      <x:c r="AK138" s="35"/>
      <x:c r="AL138" s="31"/>
      <x:c r="AM138" s="31"/>
      <x:c r="AN138" s="31"/>
      <x:c r="AO138" s="31"/>
      <x:c r="AP138" s="31"/>
      <x:c r="AQ138" s="35"/>
      <x:c r="AR138" s="31"/>
      <x:c r="AS138" s="35"/>
      <x:c r="AT138" s="31"/>
      <x:c r="AU138" s="35"/>
      <x:c r="AV138" s="35"/>
      <x:c r="AW138" s="35"/>
      <x:c r="AX138" s="35"/>
      <x:c r="AY138" s="35"/>
      <x:c r="AZ138" s="35"/>
      <x:c r="BA138" s="35"/>
      <x:c r="BB138" s="35"/>
      <x:c r="BC138" s="35"/>
      <x:c r="BD138" s="35"/>
      <x:c r="BE138" s="31"/>
      <x:c r="BF138" s="31"/>
    </x:row>
    <x:row r="139">
      <x:c r="A139" s="31"/>
      <x:c r="B139" s="31"/>
      <x:c r="C139" s="33" t="str">
        <x:f>AH139</x:f>
        <x:v>À rechercher</x:v>
      </x:c>
      <x:c r="D139" s="31"/>
      <x:c r="E139" s="31"/>
      <x:c r="F139" s="31"/>
      <x:c r="G139" s="31"/>
      <x:c r="H139" s="31"/>
      <x:c r="I139" s="31"/>
      <x:c r="J139" s="37"/>
      <x:c r="K139" s="31"/>
      <x:c r="L139" s="31"/>
      <x:c r="M139" s="31"/>
      <x:c r="N139" s="31"/>
      <x:c r="O139" s="31"/>
      <x:c r="P139" s="31"/>
      <x:c r="Q139" s="31"/>
      <x:c r="R139" s="31"/>
      <x:c r="S139" s="35"/>
      <x:c r="T139" s="35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9" t="n">
        <x:f>COUNT(V139:AE139)</x:f>
        <x:v>0</x:v>
      </x:c>
      <x:c r="AG139" s="39" t="str">
        <x:f>IF(AF139&gt;=7,SUM(V139:AE139),"")</x:f>
      </x:c>
      <x:c r="AH139" s="33" t="str">
        <x:f>IF(AF139&lt;7,"À rechercher",IF(AG139&gt;=75,"P1",IF(AG139&gt;=60,"P2",IF(AG139&gt;=45,"P3","Faible priorité"))))</x:f>
        <x:v>À rechercher</x:v>
      </x:c>
      <x:c r="AI139" s="31"/>
      <x:c r="AJ139" s="31"/>
      <x:c r="AK139" s="35"/>
      <x:c r="AL139" s="31"/>
      <x:c r="AM139" s="31"/>
      <x:c r="AN139" s="31"/>
      <x:c r="AO139" s="31"/>
      <x:c r="AP139" s="31"/>
      <x:c r="AQ139" s="35"/>
      <x:c r="AR139" s="31"/>
      <x:c r="AS139" s="35"/>
      <x:c r="AT139" s="31"/>
      <x:c r="AU139" s="35"/>
      <x:c r="AV139" s="35"/>
      <x:c r="AW139" s="35"/>
      <x:c r="AX139" s="35"/>
      <x:c r="AY139" s="35"/>
      <x:c r="AZ139" s="35"/>
      <x:c r="BA139" s="35"/>
      <x:c r="BB139" s="35"/>
      <x:c r="BC139" s="35"/>
      <x:c r="BD139" s="35"/>
      <x:c r="BE139" s="31"/>
      <x:c r="BF139" s="31"/>
    </x:row>
    <x:row r="140">
      <x:c r="A140" s="31"/>
      <x:c r="B140" s="31"/>
      <x:c r="C140" s="33" t="str">
        <x:f>AH140</x:f>
        <x:v>À rechercher</x:v>
      </x:c>
      <x:c r="D140" s="31"/>
      <x:c r="E140" s="31"/>
      <x:c r="F140" s="31"/>
      <x:c r="G140" s="31"/>
      <x:c r="H140" s="31"/>
      <x:c r="I140" s="31"/>
      <x:c r="J140" s="37"/>
      <x:c r="K140" s="31"/>
      <x:c r="L140" s="31"/>
      <x:c r="M140" s="31"/>
      <x:c r="N140" s="31"/>
      <x:c r="O140" s="31"/>
      <x:c r="P140" s="31"/>
      <x:c r="Q140" s="31"/>
      <x:c r="R140" s="31"/>
      <x:c r="S140" s="35"/>
      <x:c r="T140" s="35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9" t="n">
        <x:f>COUNT(V140:AE140)</x:f>
        <x:v>0</x:v>
      </x:c>
      <x:c r="AG140" s="39" t="str">
        <x:f>IF(AF140&gt;=7,SUM(V140:AE140),"")</x:f>
      </x:c>
      <x:c r="AH140" s="33" t="str">
        <x:f>IF(AF140&lt;7,"À rechercher",IF(AG140&gt;=75,"P1",IF(AG140&gt;=60,"P2",IF(AG140&gt;=45,"P3","Faible priorité"))))</x:f>
        <x:v>À rechercher</x:v>
      </x:c>
      <x:c r="AI140" s="31"/>
      <x:c r="AJ140" s="31"/>
      <x:c r="AK140" s="35"/>
      <x:c r="AL140" s="31"/>
      <x:c r="AM140" s="31"/>
      <x:c r="AN140" s="31"/>
      <x:c r="AO140" s="31"/>
      <x:c r="AP140" s="31"/>
      <x:c r="AQ140" s="35"/>
      <x:c r="AR140" s="31"/>
      <x:c r="AS140" s="35"/>
      <x:c r="AT140" s="31"/>
      <x:c r="AU140" s="35"/>
      <x:c r="AV140" s="35"/>
      <x:c r="AW140" s="35"/>
      <x:c r="AX140" s="35"/>
      <x:c r="AY140" s="35"/>
      <x:c r="AZ140" s="35"/>
      <x:c r="BA140" s="35"/>
      <x:c r="BB140" s="35"/>
      <x:c r="BC140" s="35"/>
      <x:c r="BD140" s="35"/>
      <x:c r="BE140" s="31"/>
      <x:c r="BF140" s="31"/>
    </x:row>
    <x:row r="141">
      <x:c r="A141" s="31"/>
      <x:c r="B141" s="31"/>
      <x:c r="C141" s="33" t="str">
        <x:f>AH141</x:f>
        <x:v>À rechercher</x:v>
      </x:c>
      <x:c r="D141" s="31"/>
      <x:c r="E141" s="31"/>
      <x:c r="F141" s="31"/>
      <x:c r="G141" s="31"/>
      <x:c r="H141" s="31"/>
      <x:c r="I141" s="31"/>
      <x:c r="J141" s="37"/>
      <x:c r="K141" s="31"/>
      <x:c r="L141" s="31"/>
      <x:c r="M141" s="31"/>
      <x:c r="N141" s="31"/>
      <x:c r="O141" s="31"/>
      <x:c r="P141" s="31"/>
      <x:c r="Q141" s="31"/>
      <x:c r="R141" s="31"/>
      <x:c r="S141" s="35"/>
      <x:c r="T141" s="35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9" t="n">
        <x:f>COUNT(V141:AE141)</x:f>
        <x:v>0</x:v>
      </x:c>
      <x:c r="AG141" s="39" t="str">
        <x:f>IF(AF141&gt;=7,SUM(V141:AE141),"")</x:f>
      </x:c>
      <x:c r="AH141" s="33" t="str">
        <x:f>IF(AF141&lt;7,"À rechercher",IF(AG141&gt;=75,"P1",IF(AG141&gt;=60,"P2",IF(AG141&gt;=45,"P3","Faible priorité"))))</x:f>
        <x:v>À rechercher</x:v>
      </x:c>
      <x:c r="AI141" s="31"/>
      <x:c r="AJ141" s="31"/>
      <x:c r="AK141" s="35"/>
      <x:c r="AL141" s="31"/>
      <x:c r="AM141" s="31"/>
      <x:c r="AN141" s="31"/>
      <x:c r="AO141" s="31"/>
      <x:c r="AP141" s="31"/>
      <x:c r="AQ141" s="35"/>
      <x:c r="AR141" s="31"/>
      <x:c r="AS141" s="35"/>
      <x:c r="AT141" s="31"/>
      <x:c r="AU141" s="35"/>
      <x:c r="AV141" s="35"/>
      <x:c r="AW141" s="35"/>
      <x:c r="AX141" s="35"/>
      <x:c r="AY141" s="35"/>
      <x:c r="AZ141" s="35"/>
      <x:c r="BA141" s="35"/>
      <x:c r="BB141" s="35"/>
      <x:c r="BC141" s="35"/>
      <x:c r="BD141" s="35"/>
      <x:c r="BE141" s="31"/>
      <x:c r="BF141" s="31"/>
    </x:row>
    <x:row r="142">
      <x:c r="A142" s="31"/>
      <x:c r="B142" s="31"/>
      <x:c r="C142" s="33" t="str">
        <x:f>AH142</x:f>
        <x:v>À rechercher</x:v>
      </x:c>
      <x:c r="D142" s="31"/>
      <x:c r="E142" s="31"/>
      <x:c r="F142" s="31"/>
      <x:c r="G142" s="31"/>
      <x:c r="H142" s="31"/>
      <x:c r="I142" s="31"/>
      <x:c r="J142" s="37"/>
      <x:c r="K142" s="31"/>
      <x:c r="L142" s="31"/>
      <x:c r="M142" s="31"/>
      <x:c r="N142" s="31"/>
      <x:c r="O142" s="31"/>
      <x:c r="P142" s="31"/>
      <x:c r="Q142" s="31"/>
      <x:c r="R142" s="31"/>
      <x:c r="S142" s="35"/>
      <x:c r="T142" s="35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9" t="n">
        <x:f>COUNT(V142:AE142)</x:f>
        <x:v>0</x:v>
      </x:c>
      <x:c r="AG142" s="39" t="str">
        <x:f>IF(AF142&gt;=7,SUM(V142:AE142),"")</x:f>
      </x:c>
      <x:c r="AH142" s="33" t="str">
        <x:f>IF(AF142&lt;7,"À rechercher",IF(AG142&gt;=75,"P1",IF(AG142&gt;=60,"P2",IF(AG142&gt;=45,"P3","Faible priorité"))))</x:f>
        <x:v>À rechercher</x:v>
      </x:c>
      <x:c r="AI142" s="31"/>
      <x:c r="AJ142" s="31"/>
      <x:c r="AK142" s="35"/>
      <x:c r="AL142" s="31"/>
      <x:c r="AM142" s="31"/>
      <x:c r="AN142" s="31"/>
      <x:c r="AO142" s="31"/>
      <x:c r="AP142" s="31"/>
      <x:c r="AQ142" s="35"/>
      <x:c r="AR142" s="31"/>
      <x:c r="AS142" s="35"/>
      <x:c r="AT142" s="31"/>
      <x:c r="AU142" s="35"/>
      <x:c r="AV142" s="35"/>
      <x:c r="AW142" s="35"/>
      <x:c r="AX142" s="35"/>
      <x:c r="AY142" s="35"/>
      <x:c r="AZ142" s="35"/>
      <x:c r="BA142" s="35"/>
      <x:c r="BB142" s="35"/>
      <x:c r="BC142" s="35"/>
      <x:c r="BD142" s="35"/>
      <x:c r="BE142" s="31"/>
      <x:c r="BF142" s="31"/>
    </x:row>
    <x:row r="143">
      <x:c r="A143" s="31"/>
      <x:c r="B143" s="31"/>
      <x:c r="C143" s="33" t="str">
        <x:f>AH143</x:f>
        <x:v>À rechercher</x:v>
      </x:c>
      <x:c r="D143" s="31"/>
      <x:c r="E143" s="31"/>
      <x:c r="F143" s="31"/>
      <x:c r="G143" s="31"/>
      <x:c r="H143" s="31"/>
      <x:c r="I143" s="31"/>
      <x:c r="J143" s="37"/>
      <x:c r="K143" s="31"/>
      <x:c r="L143" s="31"/>
      <x:c r="M143" s="31"/>
      <x:c r="N143" s="31"/>
      <x:c r="O143" s="31"/>
      <x:c r="P143" s="31"/>
      <x:c r="Q143" s="31"/>
      <x:c r="R143" s="31"/>
      <x:c r="S143" s="35"/>
      <x:c r="T143" s="35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9" t="n">
        <x:f>COUNT(V143:AE143)</x:f>
        <x:v>0</x:v>
      </x:c>
      <x:c r="AG143" s="39" t="str">
        <x:f>IF(AF143&gt;=7,SUM(V143:AE143),"")</x:f>
      </x:c>
      <x:c r="AH143" s="33" t="str">
        <x:f>IF(AF143&lt;7,"À rechercher",IF(AG143&gt;=75,"P1",IF(AG143&gt;=60,"P2",IF(AG143&gt;=45,"P3","Faible priorité"))))</x:f>
        <x:v>À rechercher</x:v>
      </x:c>
      <x:c r="AI143" s="31"/>
      <x:c r="AJ143" s="31"/>
      <x:c r="AK143" s="35"/>
      <x:c r="AL143" s="31"/>
      <x:c r="AM143" s="31"/>
      <x:c r="AN143" s="31"/>
      <x:c r="AO143" s="31"/>
      <x:c r="AP143" s="31"/>
      <x:c r="AQ143" s="35"/>
      <x:c r="AR143" s="31"/>
      <x:c r="AS143" s="35"/>
      <x:c r="AT143" s="31"/>
      <x:c r="AU143" s="35"/>
      <x:c r="AV143" s="35"/>
      <x:c r="AW143" s="35"/>
      <x:c r="AX143" s="35"/>
      <x:c r="AY143" s="35"/>
      <x:c r="AZ143" s="35"/>
      <x:c r="BA143" s="35"/>
      <x:c r="BB143" s="35"/>
      <x:c r="BC143" s="35"/>
      <x:c r="BD143" s="35"/>
      <x:c r="BE143" s="31"/>
      <x:c r="BF143" s="31"/>
    </x:row>
    <x:row r="144">
      <x:c r="A144" s="31"/>
      <x:c r="B144" s="31"/>
      <x:c r="C144" s="33" t="str">
        <x:f>AH144</x:f>
        <x:v>À rechercher</x:v>
      </x:c>
      <x:c r="D144" s="31"/>
      <x:c r="E144" s="31"/>
      <x:c r="F144" s="31"/>
      <x:c r="G144" s="31"/>
      <x:c r="H144" s="31"/>
      <x:c r="I144" s="31"/>
      <x:c r="J144" s="37"/>
      <x:c r="K144" s="31"/>
      <x:c r="L144" s="31"/>
      <x:c r="M144" s="31"/>
      <x:c r="N144" s="31"/>
      <x:c r="O144" s="31"/>
      <x:c r="P144" s="31"/>
      <x:c r="Q144" s="31"/>
      <x:c r="R144" s="31"/>
      <x:c r="S144" s="35"/>
      <x:c r="T144" s="35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9" t="n">
        <x:f>COUNT(V144:AE144)</x:f>
        <x:v>0</x:v>
      </x:c>
      <x:c r="AG144" s="39" t="str">
        <x:f>IF(AF144&gt;=7,SUM(V144:AE144),"")</x:f>
      </x:c>
      <x:c r="AH144" s="33" t="str">
        <x:f>IF(AF144&lt;7,"À rechercher",IF(AG144&gt;=75,"P1",IF(AG144&gt;=60,"P2",IF(AG144&gt;=45,"P3","Faible priorité"))))</x:f>
        <x:v>À rechercher</x:v>
      </x:c>
      <x:c r="AI144" s="31"/>
      <x:c r="AJ144" s="31"/>
      <x:c r="AK144" s="35"/>
      <x:c r="AL144" s="31"/>
      <x:c r="AM144" s="31"/>
      <x:c r="AN144" s="31"/>
      <x:c r="AO144" s="31"/>
      <x:c r="AP144" s="31"/>
      <x:c r="AQ144" s="35"/>
      <x:c r="AR144" s="31"/>
      <x:c r="AS144" s="35"/>
      <x:c r="AT144" s="31"/>
      <x:c r="AU144" s="35"/>
      <x:c r="AV144" s="35"/>
      <x:c r="AW144" s="35"/>
      <x:c r="AX144" s="35"/>
      <x:c r="AY144" s="35"/>
      <x:c r="AZ144" s="35"/>
      <x:c r="BA144" s="35"/>
      <x:c r="BB144" s="35"/>
      <x:c r="BC144" s="35"/>
      <x:c r="BD144" s="35"/>
      <x:c r="BE144" s="31"/>
      <x:c r="BF144" s="31"/>
    </x:row>
    <x:row r="145">
      <x:c r="A145" s="31"/>
      <x:c r="B145" s="31"/>
      <x:c r="C145" s="33" t="str">
        <x:f>AH145</x:f>
        <x:v>À rechercher</x:v>
      </x:c>
      <x:c r="D145" s="31"/>
      <x:c r="E145" s="31"/>
      <x:c r="F145" s="31"/>
      <x:c r="G145" s="31"/>
      <x:c r="H145" s="31"/>
      <x:c r="I145" s="31"/>
      <x:c r="J145" s="37"/>
      <x:c r="K145" s="31"/>
      <x:c r="L145" s="31"/>
      <x:c r="M145" s="31"/>
      <x:c r="N145" s="31"/>
      <x:c r="O145" s="31"/>
      <x:c r="P145" s="31"/>
      <x:c r="Q145" s="31"/>
      <x:c r="R145" s="31"/>
      <x:c r="S145" s="35"/>
      <x:c r="T145" s="35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9" t="n">
        <x:f>COUNT(V145:AE145)</x:f>
        <x:v>0</x:v>
      </x:c>
      <x:c r="AG145" s="39" t="str">
        <x:f>IF(AF145&gt;=7,SUM(V145:AE145),"")</x:f>
      </x:c>
      <x:c r="AH145" s="33" t="str">
        <x:f>IF(AF145&lt;7,"À rechercher",IF(AG145&gt;=75,"P1",IF(AG145&gt;=60,"P2",IF(AG145&gt;=45,"P3","Faible priorité"))))</x:f>
        <x:v>À rechercher</x:v>
      </x:c>
      <x:c r="AI145" s="31"/>
      <x:c r="AJ145" s="31"/>
      <x:c r="AK145" s="35"/>
      <x:c r="AL145" s="31"/>
      <x:c r="AM145" s="31"/>
      <x:c r="AN145" s="31"/>
      <x:c r="AO145" s="31"/>
      <x:c r="AP145" s="31"/>
      <x:c r="AQ145" s="35"/>
      <x:c r="AR145" s="31"/>
      <x:c r="AS145" s="35"/>
      <x:c r="AT145" s="31"/>
      <x:c r="AU145" s="35"/>
      <x:c r="AV145" s="35"/>
      <x:c r="AW145" s="35"/>
      <x:c r="AX145" s="35"/>
      <x:c r="AY145" s="35"/>
      <x:c r="AZ145" s="35"/>
      <x:c r="BA145" s="35"/>
      <x:c r="BB145" s="35"/>
      <x:c r="BC145" s="35"/>
      <x:c r="BD145" s="35"/>
      <x:c r="BE145" s="31"/>
      <x:c r="BF145" s="31"/>
    </x:row>
    <x:row r="146">
      <x:c r="A146" s="31"/>
      <x:c r="B146" s="31"/>
      <x:c r="C146" s="33" t="str">
        <x:f>AH146</x:f>
        <x:v>À rechercher</x:v>
      </x:c>
      <x:c r="D146" s="31"/>
      <x:c r="E146" s="31"/>
      <x:c r="F146" s="31"/>
      <x:c r="G146" s="31"/>
      <x:c r="H146" s="31"/>
      <x:c r="I146" s="31"/>
      <x:c r="J146" s="37"/>
      <x:c r="K146" s="31"/>
      <x:c r="L146" s="31"/>
      <x:c r="M146" s="31"/>
      <x:c r="N146" s="31"/>
      <x:c r="O146" s="31"/>
      <x:c r="P146" s="31"/>
      <x:c r="Q146" s="31"/>
      <x:c r="R146" s="31"/>
      <x:c r="S146" s="35"/>
      <x:c r="T146" s="35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9" t="n">
        <x:f>COUNT(V146:AE146)</x:f>
        <x:v>0</x:v>
      </x:c>
      <x:c r="AG146" s="39" t="str">
        <x:f>IF(AF146&gt;=7,SUM(V146:AE146),"")</x:f>
      </x:c>
      <x:c r="AH146" s="33" t="str">
        <x:f>IF(AF146&lt;7,"À rechercher",IF(AG146&gt;=75,"P1",IF(AG146&gt;=60,"P2",IF(AG146&gt;=45,"P3","Faible priorité"))))</x:f>
        <x:v>À rechercher</x:v>
      </x:c>
      <x:c r="AI146" s="31"/>
      <x:c r="AJ146" s="31"/>
      <x:c r="AK146" s="35"/>
      <x:c r="AL146" s="31"/>
      <x:c r="AM146" s="31"/>
      <x:c r="AN146" s="31"/>
      <x:c r="AO146" s="31"/>
      <x:c r="AP146" s="31"/>
      <x:c r="AQ146" s="35"/>
      <x:c r="AR146" s="31"/>
      <x:c r="AS146" s="35"/>
      <x:c r="AT146" s="31"/>
      <x:c r="AU146" s="35"/>
      <x:c r="AV146" s="35"/>
      <x:c r="AW146" s="35"/>
      <x:c r="AX146" s="35"/>
      <x:c r="AY146" s="35"/>
      <x:c r="AZ146" s="35"/>
      <x:c r="BA146" s="35"/>
      <x:c r="BB146" s="35"/>
      <x:c r="BC146" s="35"/>
      <x:c r="BD146" s="35"/>
      <x:c r="BE146" s="31"/>
      <x:c r="BF146" s="31"/>
    </x:row>
    <x:row r="147">
      <x:c r="A147" s="31"/>
      <x:c r="B147" s="31"/>
      <x:c r="C147" s="33" t="str">
        <x:f>AH147</x:f>
        <x:v>À rechercher</x:v>
      </x:c>
      <x:c r="D147" s="31"/>
      <x:c r="E147" s="31"/>
      <x:c r="F147" s="31"/>
      <x:c r="G147" s="31"/>
      <x:c r="H147" s="31"/>
      <x:c r="I147" s="31"/>
      <x:c r="J147" s="37"/>
      <x:c r="K147" s="31"/>
      <x:c r="L147" s="31"/>
      <x:c r="M147" s="31"/>
      <x:c r="N147" s="31"/>
      <x:c r="O147" s="31"/>
      <x:c r="P147" s="31"/>
      <x:c r="Q147" s="31"/>
      <x:c r="R147" s="31"/>
      <x:c r="S147" s="35"/>
      <x:c r="T147" s="35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9" t="n">
        <x:f>COUNT(V147:AE147)</x:f>
        <x:v>0</x:v>
      </x:c>
      <x:c r="AG147" s="39" t="str">
        <x:f>IF(AF147&gt;=7,SUM(V147:AE147),"")</x:f>
      </x:c>
      <x:c r="AH147" s="33" t="str">
        <x:f>IF(AF147&lt;7,"À rechercher",IF(AG147&gt;=75,"P1",IF(AG147&gt;=60,"P2",IF(AG147&gt;=45,"P3","Faible priorité"))))</x:f>
        <x:v>À rechercher</x:v>
      </x:c>
      <x:c r="AI147" s="31"/>
      <x:c r="AJ147" s="31"/>
      <x:c r="AK147" s="35"/>
      <x:c r="AL147" s="31"/>
      <x:c r="AM147" s="31"/>
      <x:c r="AN147" s="31"/>
      <x:c r="AO147" s="31"/>
      <x:c r="AP147" s="31"/>
      <x:c r="AQ147" s="35"/>
      <x:c r="AR147" s="31"/>
      <x:c r="AS147" s="35"/>
      <x:c r="AT147" s="31"/>
      <x:c r="AU147" s="35"/>
      <x:c r="AV147" s="35"/>
      <x:c r="AW147" s="35"/>
      <x:c r="AX147" s="35"/>
      <x:c r="AY147" s="35"/>
      <x:c r="AZ147" s="35"/>
      <x:c r="BA147" s="35"/>
      <x:c r="BB147" s="35"/>
      <x:c r="BC147" s="35"/>
      <x:c r="BD147" s="35"/>
      <x:c r="BE147" s="31"/>
      <x:c r="BF147" s="31"/>
    </x:row>
    <x:row r="148">
      <x:c r="A148" s="31"/>
      <x:c r="B148" s="31"/>
      <x:c r="C148" s="33" t="str">
        <x:f>AH148</x:f>
        <x:v>À rechercher</x:v>
      </x:c>
      <x:c r="D148" s="31"/>
      <x:c r="E148" s="31"/>
      <x:c r="F148" s="31"/>
      <x:c r="G148" s="31"/>
      <x:c r="H148" s="31"/>
      <x:c r="I148" s="31"/>
      <x:c r="J148" s="37"/>
      <x:c r="K148" s="31"/>
      <x:c r="L148" s="31"/>
      <x:c r="M148" s="31"/>
      <x:c r="N148" s="31"/>
      <x:c r="O148" s="31"/>
      <x:c r="P148" s="31"/>
      <x:c r="Q148" s="31"/>
      <x:c r="R148" s="31"/>
      <x:c r="S148" s="35"/>
      <x:c r="T148" s="35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9" t="n">
        <x:f>COUNT(V148:AE148)</x:f>
        <x:v>0</x:v>
      </x:c>
      <x:c r="AG148" s="39" t="str">
        <x:f>IF(AF148&gt;=7,SUM(V148:AE148),"")</x:f>
      </x:c>
      <x:c r="AH148" s="33" t="str">
        <x:f>IF(AF148&lt;7,"À rechercher",IF(AG148&gt;=75,"P1",IF(AG148&gt;=60,"P2",IF(AG148&gt;=45,"P3","Faible priorité"))))</x:f>
        <x:v>À rechercher</x:v>
      </x:c>
      <x:c r="AI148" s="31"/>
      <x:c r="AJ148" s="31"/>
      <x:c r="AK148" s="35"/>
      <x:c r="AL148" s="31"/>
      <x:c r="AM148" s="31"/>
      <x:c r="AN148" s="31"/>
      <x:c r="AO148" s="31"/>
      <x:c r="AP148" s="31"/>
      <x:c r="AQ148" s="35"/>
      <x:c r="AR148" s="31"/>
      <x:c r="AS148" s="35"/>
      <x:c r="AT148" s="31"/>
      <x:c r="AU148" s="35"/>
      <x:c r="AV148" s="35"/>
      <x:c r="AW148" s="35"/>
      <x:c r="AX148" s="35"/>
      <x:c r="AY148" s="35"/>
      <x:c r="AZ148" s="35"/>
      <x:c r="BA148" s="35"/>
      <x:c r="BB148" s="35"/>
      <x:c r="BC148" s="35"/>
      <x:c r="BD148" s="35"/>
      <x:c r="BE148" s="31"/>
      <x:c r="BF148" s="31"/>
    </x:row>
    <x:row r="149">
      <x:c r="A149" s="31"/>
      <x:c r="B149" s="31"/>
      <x:c r="C149" s="33" t="str">
        <x:f>AH149</x:f>
        <x:v>À rechercher</x:v>
      </x:c>
      <x:c r="D149" s="31"/>
      <x:c r="E149" s="31"/>
      <x:c r="F149" s="31"/>
      <x:c r="G149" s="31"/>
      <x:c r="H149" s="31"/>
      <x:c r="I149" s="31"/>
      <x:c r="J149" s="37"/>
      <x:c r="K149" s="31"/>
      <x:c r="L149" s="31"/>
      <x:c r="M149" s="31"/>
      <x:c r="N149" s="31"/>
      <x:c r="O149" s="31"/>
      <x:c r="P149" s="31"/>
      <x:c r="Q149" s="31"/>
      <x:c r="R149" s="31"/>
      <x:c r="S149" s="35"/>
      <x:c r="T149" s="35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9" t="n">
        <x:f>COUNT(V149:AE149)</x:f>
        <x:v>0</x:v>
      </x:c>
      <x:c r="AG149" s="39" t="str">
        <x:f>IF(AF149&gt;=7,SUM(V149:AE149),"")</x:f>
      </x:c>
      <x:c r="AH149" s="33" t="str">
        <x:f>IF(AF149&lt;7,"À rechercher",IF(AG149&gt;=75,"P1",IF(AG149&gt;=60,"P2",IF(AG149&gt;=45,"P3","Faible priorité"))))</x:f>
        <x:v>À rechercher</x:v>
      </x:c>
      <x:c r="AI149" s="31"/>
      <x:c r="AJ149" s="31"/>
      <x:c r="AK149" s="35"/>
      <x:c r="AL149" s="31"/>
      <x:c r="AM149" s="31"/>
      <x:c r="AN149" s="31"/>
      <x:c r="AO149" s="31"/>
      <x:c r="AP149" s="31"/>
      <x:c r="AQ149" s="35"/>
      <x:c r="AR149" s="31"/>
      <x:c r="AS149" s="35"/>
      <x:c r="AT149" s="31"/>
      <x:c r="AU149" s="35"/>
      <x:c r="AV149" s="35"/>
      <x:c r="AW149" s="35"/>
      <x:c r="AX149" s="35"/>
      <x:c r="AY149" s="35"/>
      <x:c r="AZ149" s="35"/>
      <x:c r="BA149" s="35"/>
      <x:c r="BB149" s="35"/>
      <x:c r="BC149" s="35"/>
      <x:c r="BD149" s="35"/>
      <x:c r="BE149" s="31"/>
      <x:c r="BF149" s="31"/>
    </x:row>
    <x:row r="150">
      <x:c r="A150" s="31"/>
      <x:c r="B150" s="31"/>
      <x:c r="C150" s="33" t="str">
        <x:f>AH150</x:f>
        <x:v>À rechercher</x:v>
      </x:c>
      <x:c r="D150" s="31"/>
      <x:c r="E150" s="31"/>
      <x:c r="F150" s="31"/>
      <x:c r="G150" s="31"/>
      <x:c r="H150" s="31"/>
      <x:c r="I150" s="31"/>
      <x:c r="J150" s="37"/>
      <x:c r="K150" s="31"/>
      <x:c r="L150" s="31"/>
      <x:c r="M150" s="31"/>
      <x:c r="N150" s="31"/>
      <x:c r="O150" s="31"/>
      <x:c r="P150" s="31"/>
      <x:c r="Q150" s="31"/>
      <x:c r="R150" s="31"/>
      <x:c r="S150" s="35"/>
      <x:c r="T150" s="35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9" t="n">
        <x:f>COUNT(V150:AE150)</x:f>
        <x:v>0</x:v>
      </x:c>
      <x:c r="AG150" s="39" t="str">
        <x:f>IF(AF150&gt;=7,SUM(V150:AE150),"")</x:f>
      </x:c>
      <x:c r="AH150" s="33" t="str">
        <x:f>IF(AF150&lt;7,"À rechercher",IF(AG150&gt;=75,"P1",IF(AG150&gt;=60,"P2",IF(AG150&gt;=45,"P3","Faible priorité"))))</x:f>
        <x:v>À rechercher</x:v>
      </x:c>
      <x:c r="AI150" s="31"/>
      <x:c r="AJ150" s="31"/>
      <x:c r="AK150" s="35"/>
      <x:c r="AL150" s="31"/>
      <x:c r="AM150" s="31"/>
      <x:c r="AN150" s="31"/>
      <x:c r="AO150" s="31"/>
      <x:c r="AP150" s="31"/>
      <x:c r="AQ150" s="35"/>
      <x:c r="AR150" s="31"/>
      <x:c r="AS150" s="35"/>
      <x:c r="AT150" s="31"/>
      <x:c r="AU150" s="35"/>
      <x:c r="AV150" s="35"/>
      <x:c r="AW150" s="35"/>
      <x:c r="AX150" s="35"/>
      <x:c r="AY150" s="35"/>
      <x:c r="AZ150" s="35"/>
      <x:c r="BA150" s="35"/>
      <x:c r="BB150" s="35"/>
      <x:c r="BC150" s="35"/>
      <x:c r="BD150" s="35"/>
      <x:c r="BE150" s="31"/>
      <x:c r="BF150" s="31"/>
    </x:row>
    <x:row r="151">
      <x:c r="A151" s="31"/>
      <x:c r="B151" s="31"/>
      <x:c r="C151" s="33" t="str">
        <x:f>AH151</x:f>
        <x:v>À rechercher</x:v>
      </x:c>
      <x:c r="D151" s="31"/>
      <x:c r="E151" s="31"/>
      <x:c r="F151" s="31"/>
      <x:c r="G151" s="31"/>
      <x:c r="H151" s="31"/>
      <x:c r="I151" s="31"/>
      <x:c r="J151" s="37"/>
      <x:c r="K151" s="31"/>
      <x:c r="L151" s="31"/>
      <x:c r="M151" s="31"/>
      <x:c r="N151" s="31"/>
      <x:c r="O151" s="31"/>
      <x:c r="P151" s="31"/>
      <x:c r="Q151" s="31"/>
      <x:c r="R151" s="31"/>
      <x:c r="S151" s="35"/>
      <x:c r="T151" s="35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9" t="n">
        <x:f>COUNT(V151:AE151)</x:f>
        <x:v>0</x:v>
      </x:c>
      <x:c r="AG151" s="39" t="str">
        <x:f>IF(AF151&gt;=7,SUM(V151:AE151),"")</x:f>
      </x:c>
      <x:c r="AH151" s="33" t="str">
        <x:f>IF(AF151&lt;7,"À rechercher",IF(AG151&gt;=75,"P1",IF(AG151&gt;=60,"P2",IF(AG151&gt;=45,"P3","Faible priorité"))))</x:f>
        <x:v>À rechercher</x:v>
      </x:c>
      <x:c r="AI151" s="31"/>
      <x:c r="AJ151" s="31"/>
      <x:c r="AK151" s="35"/>
      <x:c r="AL151" s="31"/>
      <x:c r="AM151" s="31"/>
      <x:c r="AN151" s="31"/>
      <x:c r="AO151" s="31"/>
      <x:c r="AP151" s="31"/>
      <x:c r="AQ151" s="35"/>
      <x:c r="AR151" s="31"/>
      <x:c r="AS151" s="35"/>
      <x:c r="AT151" s="31"/>
      <x:c r="AU151" s="35"/>
      <x:c r="AV151" s="35"/>
      <x:c r="AW151" s="35"/>
      <x:c r="AX151" s="35"/>
      <x:c r="AY151" s="35"/>
      <x:c r="AZ151" s="35"/>
      <x:c r="BA151" s="35"/>
      <x:c r="BB151" s="35"/>
      <x:c r="BC151" s="35"/>
      <x:c r="BD151" s="35"/>
      <x:c r="BE151" s="31"/>
      <x:c r="BF151" s="31"/>
    </x:row>
    <x:row r="152">
      <x:c r="A152" s="31"/>
      <x:c r="B152" s="31"/>
      <x:c r="C152" s="33" t="str">
        <x:f>AH152</x:f>
        <x:v>À rechercher</x:v>
      </x:c>
      <x:c r="D152" s="31"/>
      <x:c r="E152" s="31"/>
      <x:c r="F152" s="31"/>
      <x:c r="G152" s="31"/>
      <x:c r="H152" s="31"/>
      <x:c r="I152" s="31"/>
      <x:c r="J152" s="37"/>
      <x:c r="K152" s="31"/>
      <x:c r="L152" s="31"/>
      <x:c r="M152" s="31"/>
      <x:c r="N152" s="31"/>
      <x:c r="O152" s="31"/>
      <x:c r="P152" s="31"/>
      <x:c r="Q152" s="31"/>
      <x:c r="R152" s="31"/>
      <x:c r="S152" s="35"/>
      <x:c r="T152" s="35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9" t="n">
        <x:f>COUNT(V152:AE152)</x:f>
        <x:v>0</x:v>
      </x:c>
      <x:c r="AG152" s="39" t="str">
        <x:f>IF(AF152&gt;=7,SUM(V152:AE152),"")</x:f>
      </x:c>
      <x:c r="AH152" s="33" t="str">
        <x:f>IF(AF152&lt;7,"À rechercher",IF(AG152&gt;=75,"P1",IF(AG152&gt;=60,"P2",IF(AG152&gt;=45,"P3","Faible priorité"))))</x:f>
        <x:v>À rechercher</x:v>
      </x:c>
      <x:c r="AI152" s="31"/>
      <x:c r="AJ152" s="31"/>
      <x:c r="AK152" s="35"/>
      <x:c r="AL152" s="31"/>
      <x:c r="AM152" s="31"/>
      <x:c r="AN152" s="31"/>
      <x:c r="AO152" s="31"/>
      <x:c r="AP152" s="31"/>
      <x:c r="AQ152" s="35"/>
      <x:c r="AR152" s="31"/>
      <x:c r="AS152" s="35"/>
      <x:c r="AT152" s="31"/>
      <x:c r="AU152" s="35"/>
      <x:c r="AV152" s="35"/>
      <x:c r="AW152" s="35"/>
      <x:c r="AX152" s="35"/>
      <x:c r="AY152" s="35"/>
      <x:c r="AZ152" s="35"/>
      <x:c r="BA152" s="35"/>
      <x:c r="BB152" s="35"/>
      <x:c r="BC152" s="35"/>
      <x:c r="BD152" s="35"/>
      <x:c r="BE152" s="31"/>
      <x:c r="BF152" s="31"/>
    </x:row>
    <x:row r="153">
      <x:c r="A153" s="31"/>
      <x:c r="B153" s="31"/>
      <x:c r="C153" s="33" t="str">
        <x:f>AH153</x:f>
        <x:v>À rechercher</x:v>
      </x:c>
      <x:c r="D153" s="31"/>
      <x:c r="E153" s="31"/>
      <x:c r="F153" s="31"/>
      <x:c r="G153" s="31"/>
      <x:c r="H153" s="31"/>
      <x:c r="I153" s="31"/>
      <x:c r="J153" s="37"/>
      <x:c r="K153" s="31"/>
      <x:c r="L153" s="31"/>
      <x:c r="M153" s="31"/>
      <x:c r="N153" s="31"/>
      <x:c r="O153" s="31"/>
      <x:c r="P153" s="31"/>
      <x:c r="Q153" s="31"/>
      <x:c r="R153" s="31"/>
      <x:c r="S153" s="35"/>
      <x:c r="T153" s="35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9" t="n">
        <x:f>COUNT(V153:AE153)</x:f>
        <x:v>0</x:v>
      </x:c>
      <x:c r="AG153" s="39" t="str">
        <x:f>IF(AF153&gt;=7,SUM(V153:AE153),"")</x:f>
      </x:c>
      <x:c r="AH153" s="33" t="str">
        <x:f>IF(AF153&lt;7,"À rechercher",IF(AG153&gt;=75,"P1",IF(AG153&gt;=60,"P2",IF(AG153&gt;=45,"P3","Faible priorité"))))</x:f>
        <x:v>À rechercher</x:v>
      </x:c>
      <x:c r="AI153" s="31"/>
      <x:c r="AJ153" s="31"/>
      <x:c r="AK153" s="35"/>
      <x:c r="AL153" s="31"/>
      <x:c r="AM153" s="31"/>
      <x:c r="AN153" s="31"/>
      <x:c r="AO153" s="31"/>
      <x:c r="AP153" s="31"/>
      <x:c r="AQ153" s="35"/>
      <x:c r="AR153" s="31"/>
      <x:c r="AS153" s="35"/>
      <x:c r="AT153" s="31"/>
      <x:c r="AU153" s="35"/>
      <x:c r="AV153" s="35"/>
      <x:c r="AW153" s="35"/>
      <x:c r="AX153" s="35"/>
      <x:c r="AY153" s="35"/>
      <x:c r="AZ153" s="35"/>
      <x:c r="BA153" s="35"/>
      <x:c r="BB153" s="35"/>
      <x:c r="BC153" s="35"/>
      <x:c r="BD153" s="35"/>
      <x:c r="BE153" s="31"/>
      <x:c r="BF153" s="31"/>
    </x:row>
    <x:row r="154">
      <x:c r="A154" s="31"/>
      <x:c r="B154" s="31"/>
      <x:c r="C154" s="33" t="str">
        <x:f>AH154</x:f>
        <x:v>À rechercher</x:v>
      </x:c>
      <x:c r="D154" s="31"/>
      <x:c r="E154" s="31"/>
      <x:c r="F154" s="31"/>
      <x:c r="G154" s="31"/>
      <x:c r="H154" s="31"/>
      <x:c r="I154" s="31"/>
      <x:c r="J154" s="37"/>
      <x:c r="K154" s="31"/>
      <x:c r="L154" s="31"/>
      <x:c r="M154" s="31"/>
      <x:c r="N154" s="31"/>
      <x:c r="O154" s="31"/>
      <x:c r="P154" s="31"/>
      <x:c r="Q154" s="31"/>
      <x:c r="R154" s="31"/>
      <x:c r="S154" s="35"/>
      <x:c r="T154" s="35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9" t="n">
        <x:f>COUNT(V154:AE154)</x:f>
        <x:v>0</x:v>
      </x:c>
      <x:c r="AG154" s="39" t="str">
        <x:f>IF(AF154&gt;=7,SUM(V154:AE154),"")</x:f>
      </x:c>
      <x:c r="AH154" s="33" t="str">
        <x:f>IF(AF154&lt;7,"À rechercher",IF(AG154&gt;=75,"P1",IF(AG154&gt;=60,"P2",IF(AG154&gt;=45,"P3","Faible priorité"))))</x:f>
        <x:v>À rechercher</x:v>
      </x:c>
      <x:c r="AI154" s="31"/>
      <x:c r="AJ154" s="31"/>
      <x:c r="AK154" s="35"/>
      <x:c r="AL154" s="31"/>
      <x:c r="AM154" s="31"/>
      <x:c r="AN154" s="31"/>
      <x:c r="AO154" s="31"/>
      <x:c r="AP154" s="31"/>
      <x:c r="AQ154" s="35"/>
      <x:c r="AR154" s="31"/>
      <x:c r="AS154" s="35"/>
      <x:c r="AT154" s="31"/>
      <x:c r="AU154" s="35"/>
      <x:c r="AV154" s="35"/>
      <x:c r="AW154" s="35"/>
      <x:c r="AX154" s="35"/>
      <x:c r="AY154" s="35"/>
      <x:c r="AZ154" s="35"/>
      <x:c r="BA154" s="35"/>
      <x:c r="BB154" s="35"/>
      <x:c r="BC154" s="35"/>
      <x:c r="BD154" s="35"/>
      <x:c r="BE154" s="31"/>
      <x:c r="BF154" s="31"/>
    </x:row>
    <x:row r="155">
      <x:c r="A155" s="31"/>
      <x:c r="B155" s="31"/>
      <x:c r="C155" s="33" t="str">
        <x:f>AH155</x:f>
        <x:v>À rechercher</x:v>
      </x:c>
      <x:c r="D155" s="31"/>
      <x:c r="E155" s="31"/>
      <x:c r="F155" s="31"/>
      <x:c r="G155" s="31"/>
      <x:c r="H155" s="31"/>
      <x:c r="I155" s="31"/>
      <x:c r="J155" s="37"/>
      <x:c r="K155" s="31"/>
      <x:c r="L155" s="31"/>
      <x:c r="M155" s="31"/>
      <x:c r="N155" s="31"/>
      <x:c r="O155" s="31"/>
      <x:c r="P155" s="31"/>
      <x:c r="Q155" s="31"/>
      <x:c r="R155" s="31"/>
      <x:c r="S155" s="35"/>
      <x:c r="T155" s="35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9" t="n">
        <x:f>COUNT(V155:AE155)</x:f>
        <x:v>0</x:v>
      </x:c>
      <x:c r="AG155" s="39" t="str">
        <x:f>IF(AF155&gt;=7,SUM(V155:AE155),"")</x:f>
      </x:c>
      <x:c r="AH155" s="33" t="str">
        <x:f>IF(AF155&lt;7,"À rechercher",IF(AG155&gt;=75,"P1",IF(AG155&gt;=60,"P2",IF(AG155&gt;=45,"P3","Faible priorité"))))</x:f>
        <x:v>À rechercher</x:v>
      </x:c>
      <x:c r="AI155" s="31"/>
      <x:c r="AJ155" s="31"/>
      <x:c r="AK155" s="35"/>
      <x:c r="AL155" s="31"/>
      <x:c r="AM155" s="31"/>
      <x:c r="AN155" s="31"/>
      <x:c r="AO155" s="31"/>
      <x:c r="AP155" s="31"/>
      <x:c r="AQ155" s="35"/>
      <x:c r="AR155" s="31"/>
      <x:c r="AS155" s="35"/>
      <x:c r="AT155" s="31"/>
      <x:c r="AU155" s="35"/>
      <x:c r="AV155" s="35"/>
      <x:c r="AW155" s="35"/>
      <x:c r="AX155" s="35"/>
      <x:c r="AY155" s="35"/>
      <x:c r="AZ155" s="35"/>
      <x:c r="BA155" s="35"/>
      <x:c r="BB155" s="35"/>
      <x:c r="BC155" s="35"/>
      <x:c r="BD155" s="35"/>
      <x:c r="BE155" s="31"/>
      <x:c r="BF155" s="31"/>
    </x:row>
    <x:row r="156">
      <x:c r="A156" s="31"/>
      <x:c r="B156" s="31"/>
      <x:c r="C156" s="33" t="str">
        <x:f>AH156</x:f>
        <x:v>À rechercher</x:v>
      </x:c>
      <x:c r="D156" s="31"/>
      <x:c r="E156" s="31"/>
      <x:c r="F156" s="31"/>
      <x:c r="G156" s="31"/>
      <x:c r="H156" s="31"/>
      <x:c r="I156" s="31"/>
      <x:c r="J156" s="37"/>
      <x:c r="K156" s="31"/>
      <x:c r="L156" s="31"/>
      <x:c r="M156" s="31"/>
      <x:c r="N156" s="31"/>
      <x:c r="O156" s="31"/>
      <x:c r="P156" s="31"/>
      <x:c r="Q156" s="31"/>
      <x:c r="R156" s="31"/>
      <x:c r="S156" s="35"/>
      <x:c r="T156" s="35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9" t="n">
        <x:f>COUNT(V156:AE156)</x:f>
        <x:v>0</x:v>
      </x:c>
      <x:c r="AG156" s="39" t="str">
        <x:f>IF(AF156&gt;=7,SUM(V156:AE156),"")</x:f>
      </x:c>
      <x:c r="AH156" s="33" t="str">
        <x:f>IF(AF156&lt;7,"À rechercher",IF(AG156&gt;=75,"P1",IF(AG156&gt;=60,"P2",IF(AG156&gt;=45,"P3","Faible priorité"))))</x:f>
        <x:v>À rechercher</x:v>
      </x:c>
      <x:c r="AI156" s="31"/>
      <x:c r="AJ156" s="31"/>
      <x:c r="AK156" s="35"/>
      <x:c r="AL156" s="31"/>
      <x:c r="AM156" s="31"/>
      <x:c r="AN156" s="31"/>
      <x:c r="AO156" s="31"/>
      <x:c r="AP156" s="31"/>
      <x:c r="AQ156" s="35"/>
      <x:c r="AR156" s="31"/>
      <x:c r="AS156" s="35"/>
      <x:c r="AT156" s="31"/>
      <x:c r="AU156" s="35"/>
      <x:c r="AV156" s="35"/>
      <x:c r="AW156" s="35"/>
      <x:c r="AX156" s="35"/>
      <x:c r="AY156" s="35"/>
      <x:c r="AZ156" s="35"/>
      <x:c r="BA156" s="35"/>
      <x:c r="BB156" s="35"/>
      <x:c r="BC156" s="35"/>
      <x:c r="BD156" s="35"/>
      <x:c r="BE156" s="31"/>
      <x:c r="BF156" s="31"/>
    </x:row>
    <x:row r="157">
      <x:c r="A157" s="31"/>
      <x:c r="B157" s="31"/>
      <x:c r="C157" s="33" t="str">
        <x:f>AH157</x:f>
        <x:v>À rechercher</x:v>
      </x:c>
      <x:c r="D157" s="31"/>
      <x:c r="E157" s="31"/>
      <x:c r="F157" s="31"/>
      <x:c r="G157" s="31"/>
      <x:c r="H157" s="31"/>
      <x:c r="I157" s="31"/>
      <x:c r="J157" s="37"/>
      <x:c r="K157" s="31"/>
      <x:c r="L157" s="31"/>
      <x:c r="M157" s="31"/>
      <x:c r="N157" s="31"/>
      <x:c r="O157" s="31"/>
      <x:c r="P157" s="31"/>
      <x:c r="Q157" s="31"/>
      <x:c r="R157" s="31"/>
      <x:c r="S157" s="35"/>
      <x:c r="T157" s="35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9" t="n">
        <x:f>COUNT(V157:AE157)</x:f>
        <x:v>0</x:v>
      </x:c>
      <x:c r="AG157" s="39" t="str">
        <x:f>IF(AF157&gt;=7,SUM(V157:AE157),"")</x:f>
      </x:c>
      <x:c r="AH157" s="33" t="str">
        <x:f>IF(AF157&lt;7,"À rechercher",IF(AG157&gt;=75,"P1",IF(AG157&gt;=60,"P2",IF(AG157&gt;=45,"P3","Faible priorité"))))</x:f>
        <x:v>À rechercher</x:v>
      </x:c>
      <x:c r="AI157" s="31"/>
      <x:c r="AJ157" s="31"/>
      <x:c r="AK157" s="35"/>
      <x:c r="AL157" s="31"/>
      <x:c r="AM157" s="31"/>
      <x:c r="AN157" s="31"/>
      <x:c r="AO157" s="31"/>
      <x:c r="AP157" s="31"/>
      <x:c r="AQ157" s="35"/>
      <x:c r="AR157" s="31"/>
      <x:c r="AS157" s="35"/>
      <x:c r="AT157" s="31"/>
      <x:c r="AU157" s="35"/>
      <x:c r="AV157" s="35"/>
      <x:c r="AW157" s="35"/>
      <x:c r="AX157" s="35"/>
      <x:c r="AY157" s="35"/>
      <x:c r="AZ157" s="35"/>
      <x:c r="BA157" s="35"/>
      <x:c r="BB157" s="35"/>
      <x:c r="BC157" s="35"/>
      <x:c r="BD157" s="35"/>
      <x:c r="BE157" s="31"/>
      <x:c r="BF157" s="31"/>
    </x:row>
    <x:row r="158">
      <x:c r="A158" s="31"/>
      <x:c r="B158" s="31"/>
      <x:c r="C158" s="33" t="str">
        <x:f>AH158</x:f>
        <x:v>À rechercher</x:v>
      </x:c>
      <x:c r="D158" s="31"/>
      <x:c r="E158" s="31"/>
      <x:c r="F158" s="31"/>
      <x:c r="G158" s="31"/>
      <x:c r="H158" s="31"/>
      <x:c r="I158" s="31"/>
      <x:c r="J158" s="37"/>
      <x:c r="K158" s="31"/>
      <x:c r="L158" s="31"/>
      <x:c r="M158" s="31"/>
      <x:c r="N158" s="31"/>
      <x:c r="O158" s="31"/>
      <x:c r="P158" s="31"/>
      <x:c r="Q158" s="31"/>
      <x:c r="R158" s="31"/>
      <x:c r="S158" s="35"/>
      <x:c r="T158" s="35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9" t="n">
        <x:f>COUNT(V158:AE158)</x:f>
        <x:v>0</x:v>
      </x:c>
      <x:c r="AG158" s="39" t="str">
        <x:f>IF(AF158&gt;=7,SUM(V158:AE158),"")</x:f>
      </x:c>
      <x:c r="AH158" s="33" t="str">
        <x:f>IF(AF158&lt;7,"À rechercher",IF(AG158&gt;=75,"P1",IF(AG158&gt;=60,"P2",IF(AG158&gt;=45,"P3","Faible priorité"))))</x:f>
        <x:v>À rechercher</x:v>
      </x:c>
      <x:c r="AI158" s="31"/>
      <x:c r="AJ158" s="31"/>
      <x:c r="AK158" s="35"/>
      <x:c r="AL158" s="31"/>
      <x:c r="AM158" s="31"/>
      <x:c r="AN158" s="31"/>
      <x:c r="AO158" s="31"/>
      <x:c r="AP158" s="31"/>
      <x:c r="AQ158" s="35"/>
      <x:c r="AR158" s="31"/>
      <x:c r="AS158" s="35"/>
      <x:c r="AT158" s="31"/>
      <x:c r="AU158" s="35"/>
      <x:c r="AV158" s="35"/>
      <x:c r="AW158" s="35"/>
      <x:c r="AX158" s="35"/>
      <x:c r="AY158" s="35"/>
      <x:c r="AZ158" s="35"/>
      <x:c r="BA158" s="35"/>
      <x:c r="BB158" s="35"/>
      <x:c r="BC158" s="35"/>
      <x:c r="BD158" s="35"/>
      <x:c r="BE158" s="31"/>
      <x:c r="BF158" s="31"/>
    </x:row>
    <x:row r="159">
      <x:c r="A159" s="31"/>
      <x:c r="B159" s="31"/>
      <x:c r="C159" s="33" t="str">
        <x:f>AH159</x:f>
        <x:v>À rechercher</x:v>
      </x:c>
      <x:c r="D159" s="31"/>
      <x:c r="E159" s="31"/>
      <x:c r="F159" s="31"/>
      <x:c r="G159" s="31"/>
      <x:c r="H159" s="31"/>
      <x:c r="I159" s="31"/>
      <x:c r="J159" s="37"/>
      <x:c r="K159" s="31"/>
      <x:c r="L159" s="31"/>
      <x:c r="M159" s="31"/>
      <x:c r="N159" s="31"/>
      <x:c r="O159" s="31"/>
      <x:c r="P159" s="31"/>
      <x:c r="Q159" s="31"/>
      <x:c r="R159" s="31"/>
      <x:c r="S159" s="35"/>
      <x:c r="T159" s="35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9" t="n">
        <x:f>COUNT(V159:AE159)</x:f>
        <x:v>0</x:v>
      </x:c>
      <x:c r="AG159" s="39" t="str">
        <x:f>IF(AF159&gt;=7,SUM(V159:AE159),"")</x:f>
      </x:c>
      <x:c r="AH159" s="33" t="str">
        <x:f>IF(AF159&lt;7,"À rechercher",IF(AG159&gt;=75,"P1",IF(AG159&gt;=60,"P2",IF(AG159&gt;=45,"P3","Faible priorité"))))</x:f>
        <x:v>À rechercher</x:v>
      </x:c>
      <x:c r="AI159" s="31"/>
      <x:c r="AJ159" s="31"/>
      <x:c r="AK159" s="35"/>
      <x:c r="AL159" s="31"/>
      <x:c r="AM159" s="31"/>
      <x:c r="AN159" s="31"/>
      <x:c r="AO159" s="31"/>
      <x:c r="AP159" s="31"/>
      <x:c r="AQ159" s="35"/>
      <x:c r="AR159" s="31"/>
      <x:c r="AS159" s="35"/>
      <x:c r="AT159" s="31"/>
      <x:c r="AU159" s="35"/>
      <x:c r="AV159" s="35"/>
      <x:c r="AW159" s="35"/>
      <x:c r="AX159" s="35"/>
      <x:c r="AY159" s="35"/>
      <x:c r="AZ159" s="35"/>
      <x:c r="BA159" s="35"/>
      <x:c r="BB159" s="35"/>
      <x:c r="BC159" s="35"/>
      <x:c r="BD159" s="35"/>
      <x:c r="BE159" s="31"/>
      <x:c r="BF159" s="31"/>
    </x:row>
    <x:row r="160">
      <x:c r="A160" s="31"/>
      <x:c r="B160" s="31"/>
      <x:c r="C160" s="33" t="str">
        <x:f>AH160</x:f>
        <x:v>À rechercher</x:v>
      </x:c>
      <x:c r="D160" s="31"/>
      <x:c r="E160" s="31"/>
      <x:c r="F160" s="31"/>
      <x:c r="G160" s="31"/>
      <x:c r="H160" s="31"/>
      <x:c r="I160" s="31"/>
      <x:c r="J160" s="37"/>
      <x:c r="K160" s="31"/>
      <x:c r="L160" s="31"/>
      <x:c r="M160" s="31"/>
      <x:c r="N160" s="31"/>
      <x:c r="O160" s="31"/>
      <x:c r="P160" s="31"/>
      <x:c r="Q160" s="31"/>
      <x:c r="R160" s="31"/>
      <x:c r="S160" s="35"/>
      <x:c r="T160" s="35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9" t="n">
        <x:f>COUNT(V160:AE160)</x:f>
        <x:v>0</x:v>
      </x:c>
      <x:c r="AG160" s="39" t="str">
        <x:f>IF(AF160&gt;=7,SUM(V160:AE160),"")</x:f>
      </x:c>
      <x:c r="AH160" s="33" t="str">
        <x:f>IF(AF160&lt;7,"À rechercher",IF(AG160&gt;=75,"P1",IF(AG160&gt;=60,"P2",IF(AG160&gt;=45,"P3","Faible priorité"))))</x:f>
        <x:v>À rechercher</x:v>
      </x:c>
      <x:c r="AI160" s="31"/>
      <x:c r="AJ160" s="31"/>
      <x:c r="AK160" s="35"/>
      <x:c r="AL160" s="31"/>
      <x:c r="AM160" s="31"/>
      <x:c r="AN160" s="31"/>
      <x:c r="AO160" s="31"/>
      <x:c r="AP160" s="31"/>
      <x:c r="AQ160" s="35"/>
      <x:c r="AR160" s="31"/>
      <x:c r="AS160" s="35"/>
      <x:c r="AT160" s="31"/>
      <x:c r="AU160" s="35"/>
      <x:c r="AV160" s="35"/>
      <x:c r="AW160" s="35"/>
      <x:c r="AX160" s="35"/>
      <x:c r="AY160" s="35"/>
      <x:c r="AZ160" s="35"/>
      <x:c r="BA160" s="35"/>
      <x:c r="BB160" s="35"/>
      <x:c r="BC160" s="35"/>
      <x:c r="BD160" s="35"/>
      <x:c r="BE160" s="31"/>
      <x:c r="BF160" s="31"/>
    </x:row>
    <x:row r="161">
      <x:c r="A161" s="31"/>
      <x:c r="B161" s="31"/>
      <x:c r="C161" s="33" t="str">
        <x:f>AH161</x:f>
        <x:v>À rechercher</x:v>
      </x:c>
      <x:c r="D161" s="31"/>
      <x:c r="E161" s="31"/>
      <x:c r="F161" s="31"/>
      <x:c r="G161" s="31"/>
      <x:c r="H161" s="31"/>
      <x:c r="I161" s="31"/>
      <x:c r="J161" s="37"/>
      <x:c r="K161" s="31"/>
      <x:c r="L161" s="31"/>
      <x:c r="M161" s="31"/>
      <x:c r="N161" s="31"/>
      <x:c r="O161" s="31"/>
      <x:c r="P161" s="31"/>
      <x:c r="Q161" s="31"/>
      <x:c r="R161" s="31"/>
      <x:c r="S161" s="35"/>
      <x:c r="T161" s="35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9" t="n">
        <x:f>COUNT(V161:AE161)</x:f>
        <x:v>0</x:v>
      </x:c>
      <x:c r="AG161" s="39" t="str">
        <x:f>IF(AF161&gt;=7,SUM(V161:AE161),"")</x:f>
      </x:c>
      <x:c r="AH161" s="33" t="str">
        <x:f>IF(AF161&lt;7,"À rechercher",IF(AG161&gt;=75,"P1",IF(AG161&gt;=60,"P2",IF(AG161&gt;=45,"P3","Faible priorité"))))</x:f>
        <x:v>À rechercher</x:v>
      </x:c>
      <x:c r="AI161" s="31"/>
      <x:c r="AJ161" s="31"/>
      <x:c r="AK161" s="35"/>
      <x:c r="AL161" s="31"/>
      <x:c r="AM161" s="31"/>
      <x:c r="AN161" s="31"/>
      <x:c r="AO161" s="31"/>
      <x:c r="AP161" s="31"/>
      <x:c r="AQ161" s="35"/>
      <x:c r="AR161" s="31"/>
      <x:c r="AS161" s="35"/>
      <x:c r="AT161" s="31"/>
      <x:c r="AU161" s="35"/>
      <x:c r="AV161" s="35"/>
      <x:c r="AW161" s="35"/>
      <x:c r="AX161" s="35"/>
      <x:c r="AY161" s="35"/>
      <x:c r="AZ161" s="35"/>
      <x:c r="BA161" s="35"/>
      <x:c r="BB161" s="35"/>
      <x:c r="BC161" s="35"/>
      <x:c r="BD161" s="35"/>
      <x:c r="BE161" s="31"/>
      <x:c r="BF161" s="31"/>
    </x:row>
    <x:row r="162">
      <x:c r="A162" s="31"/>
      <x:c r="B162" s="31"/>
      <x:c r="C162" s="33" t="str">
        <x:f>AH162</x:f>
        <x:v>À rechercher</x:v>
      </x:c>
      <x:c r="D162" s="31"/>
      <x:c r="E162" s="31"/>
      <x:c r="F162" s="31"/>
      <x:c r="G162" s="31"/>
      <x:c r="H162" s="31"/>
      <x:c r="I162" s="31"/>
      <x:c r="J162" s="37"/>
      <x:c r="K162" s="31"/>
      <x:c r="L162" s="31"/>
      <x:c r="M162" s="31"/>
      <x:c r="N162" s="31"/>
      <x:c r="O162" s="31"/>
      <x:c r="P162" s="31"/>
      <x:c r="Q162" s="31"/>
      <x:c r="R162" s="31"/>
      <x:c r="S162" s="35"/>
      <x:c r="T162" s="35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9" t="n">
        <x:f>COUNT(V162:AE162)</x:f>
        <x:v>0</x:v>
      </x:c>
      <x:c r="AG162" s="39" t="str">
        <x:f>IF(AF162&gt;=7,SUM(V162:AE162),"")</x:f>
      </x:c>
      <x:c r="AH162" s="33" t="str">
        <x:f>IF(AF162&lt;7,"À rechercher",IF(AG162&gt;=75,"P1",IF(AG162&gt;=60,"P2",IF(AG162&gt;=45,"P3","Faible priorité"))))</x:f>
        <x:v>À rechercher</x:v>
      </x:c>
      <x:c r="AI162" s="31"/>
      <x:c r="AJ162" s="31"/>
      <x:c r="AK162" s="35"/>
      <x:c r="AL162" s="31"/>
      <x:c r="AM162" s="31"/>
      <x:c r="AN162" s="31"/>
      <x:c r="AO162" s="31"/>
      <x:c r="AP162" s="31"/>
      <x:c r="AQ162" s="35"/>
      <x:c r="AR162" s="31"/>
      <x:c r="AS162" s="35"/>
      <x:c r="AT162" s="31"/>
      <x:c r="AU162" s="35"/>
      <x:c r="AV162" s="35"/>
      <x:c r="AW162" s="35"/>
      <x:c r="AX162" s="35"/>
      <x:c r="AY162" s="35"/>
      <x:c r="AZ162" s="35"/>
      <x:c r="BA162" s="35"/>
      <x:c r="BB162" s="35"/>
      <x:c r="BC162" s="35"/>
      <x:c r="BD162" s="35"/>
      <x:c r="BE162" s="31"/>
      <x:c r="BF162" s="31"/>
    </x:row>
    <x:row r="163">
      <x:c r="A163" s="31"/>
      <x:c r="B163" s="31"/>
      <x:c r="C163" s="33" t="str">
        <x:f>AH163</x:f>
        <x:v>À rechercher</x:v>
      </x:c>
      <x:c r="D163" s="31"/>
      <x:c r="E163" s="31"/>
      <x:c r="F163" s="31"/>
      <x:c r="G163" s="31"/>
      <x:c r="H163" s="31"/>
      <x:c r="I163" s="31"/>
      <x:c r="J163" s="37"/>
      <x:c r="K163" s="31"/>
      <x:c r="L163" s="31"/>
      <x:c r="M163" s="31"/>
      <x:c r="N163" s="31"/>
      <x:c r="O163" s="31"/>
      <x:c r="P163" s="31"/>
      <x:c r="Q163" s="31"/>
      <x:c r="R163" s="31"/>
      <x:c r="S163" s="35"/>
      <x:c r="T163" s="35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9" t="n">
        <x:f>COUNT(V163:AE163)</x:f>
        <x:v>0</x:v>
      </x:c>
      <x:c r="AG163" s="39" t="str">
        <x:f>IF(AF163&gt;=7,SUM(V163:AE163),"")</x:f>
      </x:c>
      <x:c r="AH163" s="33" t="str">
        <x:f>IF(AF163&lt;7,"À rechercher",IF(AG163&gt;=75,"P1",IF(AG163&gt;=60,"P2",IF(AG163&gt;=45,"P3","Faible priorité"))))</x:f>
        <x:v>À rechercher</x:v>
      </x:c>
      <x:c r="AI163" s="31"/>
      <x:c r="AJ163" s="31"/>
      <x:c r="AK163" s="35"/>
      <x:c r="AL163" s="31"/>
      <x:c r="AM163" s="31"/>
      <x:c r="AN163" s="31"/>
      <x:c r="AO163" s="31"/>
      <x:c r="AP163" s="31"/>
      <x:c r="AQ163" s="35"/>
      <x:c r="AR163" s="31"/>
      <x:c r="AS163" s="35"/>
      <x:c r="AT163" s="31"/>
      <x:c r="AU163" s="35"/>
      <x:c r="AV163" s="35"/>
      <x:c r="AW163" s="35"/>
      <x:c r="AX163" s="35"/>
      <x:c r="AY163" s="35"/>
      <x:c r="AZ163" s="35"/>
      <x:c r="BA163" s="35"/>
      <x:c r="BB163" s="35"/>
      <x:c r="BC163" s="35"/>
      <x:c r="BD163" s="35"/>
      <x:c r="BE163" s="31"/>
      <x:c r="BF163" s="31"/>
    </x:row>
    <x:row r="164">
      <x:c r="A164" s="31"/>
      <x:c r="B164" s="31"/>
      <x:c r="C164" s="33" t="str">
        <x:f>AH164</x:f>
        <x:v>À rechercher</x:v>
      </x:c>
      <x:c r="D164" s="31"/>
      <x:c r="E164" s="31"/>
      <x:c r="F164" s="31"/>
      <x:c r="G164" s="31"/>
      <x:c r="H164" s="31"/>
      <x:c r="I164" s="31"/>
      <x:c r="J164" s="37"/>
      <x:c r="K164" s="31"/>
      <x:c r="L164" s="31"/>
      <x:c r="M164" s="31"/>
      <x:c r="N164" s="31"/>
      <x:c r="O164" s="31"/>
      <x:c r="P164" s="31"/>
      <x:c r="Q164" s="31"/>
      <x:c r="R164" s="31"/>
      <x:c r="S164" s="35"/>
      <x:c r="T164" s="35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9" t="n">
        <x:f>COUNT(V164:AE164)</x:f>
        <x:v>0</x:v>
      </x:c>
      <x:c r="AG164" s="39" t="str">
        <x:f>IF(AF164&gt;=7,SUM(V164:AE164),"")</x:f>
      </x:c>
      <x:c r="AH164" s="33" t="str">
        <x:f>IF(AF164&lt;7,"À rechercher",IF(AG164&gt;=75,"P1",IF(AG164&gt;=60,"P2",IF(AG164&gt;=45,"P3","Faible priorité"))))</x:f>
        <x:v>À rechercher</x:v>
      </x:c>
      <x:c r="AI164" s="31"/>
      <x:c r="AJ164" s="31"/>
      <x:c r="AK164" s="35"/>
      <x:c r="AL164" s="31"/>
      <x:c r="AM164" s="31"/>
      <x:c r="AN164" s="31"/>
      <x:c r="AO164" s="31"/>
      <x:c r="AP164" s="31"/>
      <x:c r="AQ164" s="35"/>
      <x:c r="AR164" s="31"/>
      <x:c r="AS164" s="35"/>
      <x:c r="AT164" s="31"/>
      <x:c r="AU164" s="35"/>
      <x:c r="AV164" s="35"/>
      <x:c r="AW164" s="35"/>
      <x:c r="AX164" s="35"/>
      <x:c r="AY164" s="35"/>
      <x:c r="AZ164" s="35"/>
      <x:c r="BA164" s="35"/>
      <x:c r="BB164" s="35"/>
      <x:c r="BC164" s="35"/>
      <x:c r="BD164" s="35"/>
      <x:c r="BE164" s="31"/>
      <x:c r="BF164" s="31"/>
    </x:row>
    <x:row r="165">
      <x:c r="A165" s="31"/>
      <x:c r="B165" s="31"/>
      <x:c r="C165" s="33" t="str">
        <x:f>AH165</x:f>
        <x:v>À rechercher</x:v>
      </x:c>
      <x:c r="D165" s="31"/>
      <x:c r="E165" s="31"/>
      <x:c r="F165" s="31"/>
      <x:c r="G165" s="31"/>
      <x:c r="H165" s="31"/>
      <x:c r="I165" s="31"/>
      <x:c r="J165" s="37"/>
      <x:c r="K165" s="31"/>
      <x:c r="L165" s="31"/>
      <x:c r="M165" s="31"/>
      <x:c r="N165" s="31"/>
      <x:c r="O165" s="31"/>
      <x:c r="P165" s="31"/>
      <x:c r="Q165" s="31"/>
      <x:c r="R165" s="31"/>
      <x:c r="S165" s="35"/>
      <x:c r="T165" s="35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9" t="n">
        <x:f>COUNT(V165:AE165)</x:f>
        <x:v>0</x:v>
      </x:c>
      <x:c r="AG165" s="39" t="str">
        <x:f>IF(AF165&gt;=7,SUM(V165:AE165),"")</x:f>
      </x:c>
      <x:c r="AH165" s="33" t="str">
        <x:f>IF(AF165&lt;7,"À rechercher",IF(AG165&gt;=75,"P1",IF(AG165&gt;=60,"P2",IF(AG165&gt;=45,"P3","Faible priorité"))))</x:f>
        <x:v>À rechercher</x:v>
      </x:c>
      <x:c r="AI165" s="31"/>
      <x:c r="AJ165" s="31"/>
      <x:c r="AK165" s="35"/>
      <x:c r="AL165" s="31"/>
      <x:c r="AM165" s="31"/>
      <x:c r="AN165" s="31"/>
      <x:c r="AO165" s="31"/>
      <x:c r="AP165" s="31"/>
      <x:c r="AQ165" s="35"/>
      <x:c r="AR165" s="31"/>
      <x:c r="AS165" s="35"/>
      <x:c r="AT165" s="31"/>
      <x:c r="AU165" s="35"/>
      <x:c r="AV165" s="35"/>
      <x:c r="AW165" s="35"/>
      <x:c r="AX165" s="35"/>
      <x:c r="AY165" s="35"/>
      <x:c r="AZ165" s="35"/>
      <x:c r="BA165" s="35"/>
      <x:c r="BB165" s="35"/>
      <x:c r="BC165" s="35"/>
      <x:c r="BD165" s="35"/>
      <x:c r="BE165" s="31"/>
      <x:c r="BF165" s="31"/>
    </x:row>
    <x:row r="166">
      <x:c r="A166" s="31"/>
      <x:c r="B166" s="31"/>
      <x:c r="C166" s="33" t="str">
        <x:f>AH166</x:f>
        <x:v>À rechercher</x:v>
      </x:c>
      <x:c r="D166" s="31"/>
      <x:c r="E166" s="31"/>
      <x:c r="F166" s="31"/>
      <x:c r="G166" s="31"/>
      <x:c r="H166" s="31"/>
      <x:c r="I166" s="31"/>
      <x:c r="J166" s="37"/>
      <x:c r="K166" s="31"/>
      <x:c r="L166" s="31"/>
      <x:c r="M166" s="31"/>
      <x:c r="N166" s="31"/>
      <x:c r="O166" s="31"/>
      <x:c r="P166" s="31"/>
      <x:c r="Q166" s="31"/>
      <x:c r="R166" s="31"/>
      <x:c r="S166" s="35"/>
      <x:c r="T166" s="35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9" t="n">
        <x:f>COUNT(V166:AE166)</x:f>
        <x:v>0</x:v>
      </x:c>
      <x:c r="AG166" s="39" t="str">
        <x:f>IF(AF166&gt;=7,SUM(V166:AE166),"")</x:f>
      </x:c>
      <x:c r="AH166" s="33" t="str">
        <x:f>IF(AF166&lt;7,"À rechercher",IF(AG166&gt;=75,"P1",IF(AG166&gt;=60,"P2",IF(AG166&gt;=45,"P3","Faible priorité"))))</x:f>
        <x:v>À rechercher</x:v>
      </x:c>
      <x:c r="AI166" s="31"/>
      <x:c r="AJ166" s="31"/>
      <x:c r="AK166" s="35"/>
      <x:c r="AL166" s="31"/>
      <x:c r="AM166" s="31"/>
      <x:c r="AN166" s="31"/>
      <x:c r="AO166" s="31"/>
      <x:c r="AP166" s="31"/>
      <x:c r="AQ166" s="35"/>
      <x:c r="AR166" s="31"/>
      <x:c r="AS166" s="35"/>
      <x:c r="AT166" s="31"/>
      <x:c r="AU166" s="35"/>
      <x:c r="AV166" s="35"/>
      <x:c r="AW166" s="35"/>
      <x:c r="AX166" s="35"/>
      <x:c r="AY166" s="35"/>
      <x:c r="AZ166" s="35"/>
      <x:c r="BA166" s="35"/>
      <x:c r="BB166" s="35"/>
      <x:c r="BC166" s="35"/>
      <x:c r="BD166" s="35"/>
      <x:c r="BE166" s="31"/>
      <x:c r="BF166" s="31"/>
    </x:row>
    <x:row r="167">
      <x:c r="A167" s="31"/>
      <x:c r="B167" s="31"/>
      <x:c r="C167" s="33" t="str">
        <x:f>AH167</x:f>
        <x:v>À rechercher</x:v>
      </x:c>
      <x:c r="D167" s="31"/>
      <x:c r="E167" s="31"/>
      <x:c r="F167" s="31"/>
      <x:c r="G167" s="31"/>
      <x:c r="H167" s="31"/>
      <x:c r="I167" s="31"/>
      <x:c r="J167" s="37"/>
      <x:c r="K167" s="31"/>
      <x:c r="L167" s="31"/>
      <x:c r="M167" s="31"/>
      <x:c r="N167" s="31"/>
      <x:c r="O167" s="31"/>
      <x:c r="P167" s="31"/>
      <x:c r="Q167" s="31"/>
      <x:c r="R167" s="31"/>
      <x:c r="S167" s="35"/>
      <x:c r="T167" s="35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9" t="n">
        <x:f>COUNT(V167:AE167)</x:f>
        <x:v>0</x:v>
      </x:c>
      <x:c r="AG167" s="39" t="str">
        <x:f>IF(AF167&gt;=7,SUM(V167:AE167),"")</x:f>
      </x:c>
      <x:c r="AH167" s="33" t="str">
        <x:f>IF(AF167&lt;7,"À rechercher",IF(AG167&gt;=75,"P1",IF(AG167&gt;=60,"P2",IF(AG167&gt;=45,"P3","Faible priorité"))))</x:f>
        <x:v>À rechercher</x:v>
      </x:c>
      <x:c r="AI167" s="31"/>
      <x:c r="AJ167" s="31"/>
      <x:c r="AK167" s="35"/>
      <x:c r="AL167" s="31"/>
      <x:c r="AM167" s="31"/>
      <x:c r="AN167" s="31"/>
      <x:c r="AO167" s="31"/>
      <x:c r="AP167" s="31"/>
      <x:c r="AQ167" s="35"/>
      <x:c r="AR167" s="31"/>
      <x:c r="AS167" s="35"/>
      <x:c r="AT167" s="31"/>
      <x:c r="AU167" s="35"/>
      <x:c r="AV167" s="35"/>
      <x:c r="AW167" s="35"/>
      <x:c r="AX167" s="35"/>
      <x:c r="AY167" s="35"/>
      <x:c r="AZ167" s="35"/>
      <x:c r="BA167" s="35"/>
      <x:c r="BB167" s="35"/>
      <x:c r="BC167" s="35"/>
      <x:c r="BD167" s="35"/>
      <x:c r="BE167" s="31"/>
      <x:c r="BF167" s="31"/>
    </x:row>
    <x:row r="168">
      <x:c r="A168" s="31"/>
      <x:c r="B168" s="31"/>
      <x:c r="C168" s="33" t="str">
        <x:f>AH168</x:f>
        <x:v>À rechercher</x:v>
      </x:c>
      <x:c r="D168" s="31"/>
      <x:c r="E168" s="31"/>
      <x:c r="F168" s="31"/>
      <x:c r="G168" s="31"/>
      <x:c r="H168" s="31"/>
      <x:c r="I168" s="31"/>
      <x:c r="J168" s="37"/>
      <x:c r="K168" s="31"/>
      <x:c r="L168" s="31"/>
      <x:c r="M168" s="31"/>
      <x:c r="N168" s="31"/>
      <x:c r="O168" s="31"/>
      <x:c r="P168" s="31"/>
      <x:c r="Q168" s="31"/>
      <x:c r="R168" s="31"/>
      <x:c r="S168" s="35"/>
      <x:c r="T168" s="35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9" t="n">
        <x:f>COUNT(V168:AE168)</x:f>
        <x:v>0</x:v>
      </x:c>
      <x:c r="AG168" s="39" t="str">
        <x:f>IF(AF168&gt;=7,SUM(V168:AE168),"")</x:f>
      </x:c>
      <x:c r="AH168" s="33" t="str">
        <x:f>IF(AF168&lt;7,"À rechercher",IF(AG168&gt;=75,"P1",IF(AG168&gt;=60,"P2",IF(AG168&gt;=45,"P3","Faible priorité"))))</x:f>
        <x:v>À rechercher</x:v>
      </x:c>
      <x:c r="AI168" s="31"/>
      <x:c r="AJ168" s="31"/>
      <x:c r="AK168" s="35"/>
      <x:c r="AL168" s="31"/>
      <x:c r="AM168" s="31"/>
      <x:c r="AN168" s="31"/>
      <x:c r="AO168" s="31"/>
      <x:c r="AP168" s="31"/>
      <x:c r="AQ168" s="35"/>
      <x:c r="AR168" s="31"/>
      <x:c r="AS168" s="35"/>
      <x:c r="AT168" s="31"/>
      <x:c r="AU168" s="35"/>
      <x:c r="AV168" s="35"/>
      <x:c r="AW168" s="35"/>
      <x:c r="AX168" s="35"/>
      <x:c r="AY168" s="35"/>
      <x:c r="AZ168" s="35"/>
      <x:c r="BA168" s="35"/>
      <x:c r="BB168" s="35"/>
      <x:c r="BC168" s="35"/>
      <x:c r="BD168" s="35"/>
      <x:c r="BE168" s="31"/>
      <x:c r="BF168" s="31"/>
    </x:row>
    <x:row r="169">
      <x:c r="A169" s="31"/>
      <x:c r="B169" s="31"/>
      <x:c r="C169" s="33" t="str">
        <x:f>AH169</x:f>
        <x:v>À rechercher</x:v>
      </x:c>
      <x:c r="D169" s="31"/>
      <x:c r="E169" s="31"/>
      <x:c r="F169" s="31"/>
      <x:c r="G169" s="31"/>
      <x:c r="H169" s="31"/>
      <x:c r="I169" s="31"/>
      <x:c r="J169" s="37"/>
      <x:c r="K169" s="31"/>
      <x:c r="L169" s="31"/>
      <x:c r="M169" s="31"/>
      <x:c r="N169" s="31"/>
      <x:c r="O169" s="31"/>
      <x:c r="P169" s="31"/>
      <x:c r="Q169" s="31"/>
      <x:c r="R169" s="31"/>
      <x:c r="S169" s="35"/>
      <x:c r="T169" s="35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9" t="n">
        <x:f>COUNT(V169:AE169)</x:f>
        <x:v>0</x:v>
      </x:c>
      <x:c r="AG169" s="39" t="str">
        <x:f>IF(AF169&gt;=7,SUM(V169:AE169),"")</x:f>
      </x:c>
      <x:c r="AH169" s="33" t="str">
        <x:f>IF(AF169&lt;7,"À rechercher",IF(AG169&gt;=75,"P1",IF(AG169&gt;=60,"P2",IF(AG169&gt;=45,"P3","Faible priorité"))))</x:f>
        <x:v>À rechercher</x:v>
      </x:c>
      <x:c r="AI169" s="31"/>
      <x:c r="AJ169" s="31"/>
      <x:c r="AK169" s="35"/>
      <x:c r="AL169" s="31"/>
      <x:c r="AM169" s="31"/>
      <x:c r="AN169" s="31"/>
      <x:c r="AO169" s="31"/>
      <x:c r="AP169" s="31"/>
      <x:c r="AQ169" s="35"/>
      <x:c r="AR169" s="31"/>
      <x:c r="AS169" s="35"/>
      <x:c r="AT169" s="31"/>
      <x:c r="AU169" s="35"/>
      <x:c r="AV169" s="35"/>
      <x:c r="AW169" s="35"/>
      <x:c r="AX169" s="35"/>
      <x:c r="AY169" s="35"/>
      <x:c r="AZ169" s="35"/>
      <x:c r="BA169" s="35"/>
      <x:c r="BB169" s="35"/>
      <x:c r="BC169" s="35"/>
      <x:c r="BD169" s="35"/>
      <x:c r="BE169" s="31"/>
      <x:c r="BF169" s="31"/>
    </x:row>
    <x:row r="170">
      <x:c r="A170" s="31"/>
      <x:c r="B170" s="31"/>
      <x:c r="C170" s="33" t="str">
        <x:f>AH170</x:f>
        <x:v>À rechercher</x:v>
      </x:c>
      <x:c r="D170" s="31"/>
      <x:c r="E170" s="31"/>
      <x:c r="F170" s="31"/>
      <x:c r="G170" s="31"/>
      <x:c r="H170" s="31"/>
      <x:c r="I170" s="31"/>
      <x:c r="J170" s="37"/>
      <x:c r="K170" s="31"/>
      <x:c r="L170" s="31"/>
      <x:c r="M170" s="31"/>
      <x:c r="N170" s="31"/>
      <x:c r="O170" s="31"/>
      <x:c r="P170" s="31"/>
      <x:c r="Q170" s="31"/>
      <x:c r="R170" s="31"/>
      <x:c r="S170" s="35"/>
      <x:c r="T170" s="35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9" t="n">
        <x:f>COUNT(V170:AE170)</x:f>
        <x:v>0</x:v>
      </x:c>
      <x:c r="AG170" s="39" t="str">
        <x:f>IF(AF170&gt;=7,SUM(V170:AE170),"")</x:f>
      </x:c>
      <x:c r="AH170" s="33" t="str">
        <x:f>IF(AF170&lt;7,"À rechercher",IF(AG170&gt;=75,"P1",IF(AG170&gt;=60,"P2",IF(AG170&gt;=45,"P3","Faible priorité"))))</x:f>
        <x:v>À rechercher</x:v>
      </x:c>
      <x:c r="AI170" s="31"/>
      <x:c r="AJ170" s="31"/>
      <x:c r="AK170" s="35"/>
      <x:c r="AL170" s="31"/>
      <x:c r="AM170" s="31"/>
      <x:c r="AN170" s="31"/>
      <x:c r="AO170" s="31"/>
      <x:c r="AP170" s="31"/>
      <x:c r="AQ170" s="35"/>
      <x:c r="AR170" s="31"/>
      <x:c r="AS170" s="35"/>
      <x:c r="AT170" s="31"/>
      <x:c r="AU170" s="35"/>
      <x:c r="AV170" s="35"/>
      <x:c r="AW170" s="35"/>
      <x:c r="AX170" s="35"/>
      <x:c r="AY170" s="35"/>
      <x:c r="AZ170" s="35"/>
      <x:c r="BA170" s="35"/>
      <x:c r="BB170" s="35"/>
      <x:c r="BC170" s="35"/>
      <x:c r="BD170" s="35"/>
      <x:c r="BE170" s="31"/>
      <x:c r="BF170" s="31"/>
    </x:row>
    <x:row r="171">
      <x:c r="A171" s="31"/>
      <x:c r="B171" s="31"/>
      <x:c r="C171" s="33" t="str">
        <x:f>AH171</x:f>
        <x:v>À rechercher</x:v>
      </x:c>
      <x:c r="D171" s="31"/>
      <x:c r="E171" s="31"/>
      <x:c r="F171" s="31"/>
      <x:c r="G171" s="31"/>
      <x:c r="H171" s="31"/>
      <x:c r="I171" s="31"/>
      <x:c r="J171" s="37"/>
      <x:c r="K171" s="31"/>
      <x:c r="L171" s="31"/>
      <x:c r="M171" s="31"/>
      <x:c r="N171" s="31"/>
      <x:c r="O171" s="31"/>
      <x:c r="P171" s="31"/>
      <x:c r="Q171" s="31"/>
      <x:c r="R171" s="31"/>
      <x:c r="S171" s="35"/>
      <x:c r="T171" s="35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9" t="n">
        <x:f>COUNT(V171:AE171)</x:f>
        <x:v>0</x:v>
      </x:c>
      <x:c r="AG171" s="39" t="str">
        <x:f>IF(AF171&gt;=7,SUM(V171:AE171),"")</x:f>
      </x:c>
      <x:c r="AH171" s="33" t="str">
        <x:f>IF(AF171&lt;7,"À rechercher",IF(AG171&gt;=75,"P1",IF(AG171&gt;=60,"P2",IF(AG171&gt;=45,"P3","Faible priorité"))))</x:f>
        <x:v>À rechercher</x:v>
      </x:c>
      <x:c r="AI171" s="31"/>
      <x:c r="AJ171" s="31"/>
      <x:c r="AK171" s="35"/>
      <x:c r="AL171" s="31"/>
      <x:c r="AM171" s="31"/>
      <x:c r="AN171" s="31"/>
      <x:c r="AO171" s="31"/>
      <x:c r="AP171" s="31"/>
      <x:c r="AQ171" s="35"/>
      <x:c r="AR171" s="31"/>
      <x:c r="AS171" s="35"/>
      <x:c r="AT171" s="31"/>
      <x:c r="AU171" s="35"/>
      <x:c r="AV171" s="35"/>
      <x:c r="AW171" s="35"/>
      <x:c r="AX171" s="35"/>
      <x:c r="AY171" s="35"/>
      <x:c r="AZ171" s="35"/>
      <x:c r="BA171" s="35"/>
      <x:c r="BB171" s="35"/>
      <x:c r="BC171" s="35"/>
      <x:c r="BD171" s="35"/>
      <x:c r="BE171" s="31"/>
      <x:c r="BF171" s="31"/>
    </x:row>
    <x:row r="172">
      <x:c r="A172" s="31"/>
      <x:c r="B172" s="31"/>
      <x:c r="C172" s="33" t="str">
        <x:f>AH172</x:f>
        <x:v>À rechercher</x:v>
      </x:c>
      <x:c r="D172" s="31"/>
      <x:c r="E172" s="31"/>
      <x:c r="F172" s="31"/>
      <x:c r="G172" s="31"/>
      <x:c r="H172" s="31"/>
      <x:c r="I172" s="31"/>
      <x:c r="J172" s="37"/>
      <x:c r="K172" s="31"/>
      <x:c r="L172" s="31"/>
      <x:c r="M172" s="31"/>
      <x:c r="N172" s="31"/>
      <x:c r="O172" s="31"/>
      <x:c r="P172" s="31"/>
      <x:c r="Q172" s="31"/>
      <x:c r="R172" s="31"/>
      <x:c r="S172" s="35"/>
      <x:c r="T172" s="35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9" t="n">
        <x:f>COUNT(V172:AE172)</x:f>
        <x:v>0</x:v>
      </x:c>
      <x:c r="AG172" s="39" t="str">
        <x:f>IF(AF172&gt;=7,SUM(V172:AE172),"")</x:f>
      </x:c>
      <x:c r="AH172" s="33" t="str">
        <x:f>IF(AF172&lt;7,"À rechercher",IF(AG172&gt;=75,"P1",IF(AG172&gt;=60,"P2",IF(AG172&gt;=45,"P3","Faible priorité"))))</x:f>
        <x:v>À rechercher</x:v>
      </x:c>
      <x:c r="AI172" s="31"/>
      <x:c r="AJ172" s="31"/>
      <x:c r="AK172" s="35"/>
      <x:c r="AL172" s="31"/>
      <x:c r="AM172" s="31"/>
      <x:c r="AN172" s="31"/>
      <x:c r="AO172" s="31"/>
      <x:c r="AP172" s="31"/>
      <x:c r="AQ172" s="35"/>
      <x:c r="AR172" s="31"/>
      <x:c r="AS172" s="35"/>
      <x:c r="AT172" s="31"/>
      <x:c r="AU172" s="35"/>
      <x:c r="AV172" s="35"/>
      <x:c r="AW172" s="35"/>
      <x:c r="AX172" s="35"/>
      <x:c r="AY172" s="35"/>
      <x:c r="AZ172" s="35"/>
      <x:c r="BA172" s="35"/>
      <x:c r="BB172" s="35"/>
      <x:c r="BC172" s="35"/>
      <x:c r="BD172" s="35"/>
      <x:c r="BE172" s="31"/>
      <x:c r="BF172" s="31"/>
    </x:row>
    <x:row r="173">
      <x:c r="A173" s="31"/>
      <x:c r="B173" s="31"/>
      <x:c r="C173" s="33" t="str">
        <x:f>AH173</x:f>
        <x:v>À rechercher</x:v>
      </x:c>
      <x:c r="D173" s="31"/>
      <x:c r="E173" s="31"/>
      <x:c r="F173" s="31"/>
      <x:c r="G173" s="31"/>
      <x:c r="H173" s="31"/>
      <x:c r="I173" s="31"/>
      <x:c r="J173" s="37"/>
      <x:c r="K173" s="31"/>
      <x:c r="L173" s="31"/>
      <x:c r="M173" s="31"/>
      <x:c r="N173" s="31"/>
      <x:c r="O173" s="31"/>
      <x:c r="P173" s="31"/>
      <x:c r="Q173" s="31"/>
      <x:c r="R173" s="31"/>
      <x:c r="S173" s="35"/>
      <x:c r="T173" s="35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9" t="n">
        <x:f>COUNT(V173:AE173)</x:f>
        <x:v>0</x:v>
      </x:c>
      <x:c r="AG173" s="39" t="str">
        <x:f>IF(AF173&gt;=7,SUM(V173:AE173),"")</x:f>
      </x:c>
      <x:c r="AH173" s="33" t="str">
        <x:f>IF(AF173&lt;7,"À rechercher",IF(AG173&gt;=75,"P1",IF(AG173&gt;=60,"P2",IF(AG173&gt;=45,"P3","Faible priorité"))))</x:f>
        <x:v>À rechercher</x:v>
      </x:c>
      <x:c r="AI173" s="31"/>
      <x:c r="AJ173" s="31"/>
      <x:c r="AK173" s="35"/>
      <x:c r="AL173" s="31"/>
      <x:c r="AM173" s="31"/>
      <x:c r="AN173" s="31"/>
      <x:c r="AO173" s="31"/>
      <x:c r="AP173" s="31"/>
      <x:c r="AQ173" s="35"/>
      <x:c r="AR173" s="31"/>
      <x:c r="AS173" s="35"/>
      <x:c r="AT173" s="31"/>
      <x:c r="AU173" s="35"/>
      <x:c r="AV173" s="35"/>
      <x:c r="AW173" s="35"/>
      <x:c r="AX173" s="35"/>
      <x:c r="AY173" s="35"/>
      <x:c r="AZ173" s="35"/>
      <x:c r="BA173" s="35"/>
      <x:c r="BB173" s="35"/>
      <x:c r="BC173" s="35"/>
      <x:c r="BD173" s="35"/>
      <x:c r="BE173" s="31"/>
      <x:c r="BF173" s="31"/>
    </x:row>
    <x:row r="174">
      <x:c r="A174" s="31"/>
      <x:c r="B174" s="31"/>
      <x:c r="C174" s="33" t="str">
        <x:f>AH174</x:f>
        <x:v>À rechercher</x:v>
      </x:c>
      <x:c r="D174" s="31"/>
      <x:c r="E174" s="31"/>
      <x:c r="F174" s="31"/>
      <x:c r="G174" s="31"/>
      <x:c r="H174" s="31"/>
      <x:c r="I174" s="31"/>
      <x:c r="J174" s="37"/>
      <x:c r="K174" s="31"/>
      <x:c r="L174" s="31"/>
      <x:c r="M174" s="31"/>
      <x:c r="N174" s="31"/>
      <x:c r="O174" s="31"/>
      <x:c r="P174" s="31"/>
      <x:c r="Q174" s="31"/>
      <x:c r="R174" s="31"/>
      <x:c r="S174" s="35"/>
      <x:c r="T174" s="35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9" t="n">
        <x:f>COUNT(V174:AE174)</x:f>
        <x:v>0</x:v>
      </x:c>
      <x:c r="AG174" s="39" t="str">
        <x:f>IF(AF174&gt;=7,SUM(V174:AE174),"")</x:f>
      </x:c>
      <x:c r="AH174" s="33" t="str">
        <x:f>IF(AF174&lt;7,"À rechercher",IF(AG174&gt;=75,"P1",IF(AG174&gt;=60,"P2",IF(AG174&gt;=45,"P3","Faible priorité"))))</x:f>
        <x:v>À rechercher</x:v>
      </x:c>
      <x:c r="AI174" s="31"/>
      <x:c r="AJ174" s="31"/>
      <x:c r="AK174" s="35"/>
      <x:c r="AL174" s="31"/>
      <x:c r="AM174" s="31"/>
      <x:c r="AN174" s="31"/>
      <x:c r="AO174" s="31"/>
      <x:c r="AP174" s="31"/>
      <x:c r="AQ174" s="35"/>
      <x:c r="AR174" s="31"/>
      <x:c r="AS174" s="35"/>
      <x:c r="AT174" s="31"/>
      <x:c r="AU174" s="35"/>
      <x:c r="AV174" s="35"/>
      <x:c r="AW174" s="35"/>
      <x:c r="AX174" s="35"/>
      <x:c r="AY174" s="35"/>
      <x:c r="AZ174" s="35"/>
      <x:c r="BA174" s="35"/>
      <x:c r="BB174" s="35"/>
      <x:c r="BC174" s="35"/>
      <x:c r="BD174" s="35"/>
      <x:c r="BE174" s="31"/>
      <x:c r="BF174" s="31"/>
    </x:row>
    <x:row r="175">
      <x:c r="A175" s="31"/>
      <x:c r="B175" s="31"/>
      <x:c r="C175" s="33" t="str">
        <x:f>AH175</x:f>
        <x:v>À rechercher</x:v>
      </x:c>
      <x:c r="D175" s="31"/>
      <x:c r="E175" s="31"/>
      <x:c r="F175" s="31"/>
      <x:c r="G175" s="31"/>
      <x:c r="H175" s="31"/>
      <x:c r="I175" s="31"/>
      <x:c r="J175" s="37"/>
      <x:c r="K175" s="31"/>
      <x:c r="L175" s="31"/>
      <x:c r="M175" s="31"/>
      <x:c r="N175" s="31"/>
      <x:c r="O175" s="31"/>
      <x:c r="P175" s="31"/>
      <x:c r="Q175" s="31"/>
      <x:c r="R175" s="31"/>
      <x:c r="S175" s="35"/>
      <x:c r="T175" s="35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9" t="n">
        <x:f>COUNT(V175:AE175)</x:f>
        <x:v>0</x:v>
      </x:c>
      <x:c r="AG175" s="39" t="str">
        <x:f>IF(AF175&gt;=7,SUM(V175:AE175),"")</x:f>
      </x:c>
      <x:c r="AH175" s="33" t="str">
        <x:f>IF(AF175&lt;7,"À rechercher",IF(AG175&gt;=75,"P1",IF(AG175&gt;=60,"P2",IF(AG175&gt;=45,"P3","Faible priorité"))))</x:f>
        <x:v>À rechercher</x:v>
      </x:c>
      <x:c r="AI175" s="31"/>
      <x:c r="AJ175" s="31"/>
      <x:c r="AK175" s="35"/>
      <x:c r="AL175" s="31"/>
      <x:c r="AM175" s="31"/>
      <x:c r="AN175" s="31"/>
      <x:c r="AO175" s="31"/>
      <x:c r="AP175" s="31"/>
      <x:c r="AQ175" s="35"/>
      <x:c r="AR175" s="31"/>
      <x:c r="AS175" s="35"/>
      <x:c r="AT175" s="31"/>
      <x:c r="AU175" s="35"/>
      <x:c r="AV175" s="35"/>
      <x:c r="AW175" s="35"/>
      <x:c r="AX175" s="35"/>
      <x:c r="AY175" s="35"/>
      <x:c r="AZ175" s="35"/>
      <x:c r="BA175" s="35"/>
      <x:c r="BB175" s="35"/>
      <x:c r="BC175" s="35"/>
      <x:c r="BD175" s="35"/>
      <x:c r="BE175" s="31"/>
      <x:c r="BF175" s="31"/>
    </x:row>
    <x:row r="176">
      <x:c r="A176" s="31"/>
      <x:c r="B176" s="31"/>
      <x:c r="C176" s="33" t="str">
        <x:f>AH176</x:f>
        <x:v>À rechercher</x:v>
      </x:c>
      <x:c r="D176" s="31"/>
      <x:c r="E176" s="31"/>
      <x:c r="F176" s="31"/>
      <x:c r="G176" s="31"/>
      <x:c r="H176" s="31"/>
      <x:c r="I176" s="31"/>
      <x:c r="J176" s="37"/>
      <x:c r="K176" s="31"/>
      <x:c r="L176" s="31"/>
      <x:c r="M176" s="31"/>
      <x:c r="N176" s="31"/>
      <x:c r="O176" s="31"/>
      <x:c r="P176" s="31"/>
      <x:c r="Q176" s="31"/>
      <x:c r="R176" s="31"/>
      <x:c r="S176" s="35"/>
      <x:c r="T176" s="35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9" t="n">
        <x:f>COUNT(V176:AE176)</x:f>
        <x:v>0</x:v>
      </x:c>
      <x:c r="AG176" s="39" t="str">
        <x:f>IF(AF176&gt;=7,SUM(V176:AE176),"")</x:f>
      </x:c>
      <x:c r="AH176" s="33" t="str">
        <x:f>IF(AF176&lt;7,"À rechercher",IF(AG176&gt;=75,"P1",IF(AG176&gt;=60,"P2",IF(AG176&gt;=45,"P3","Faible priorité"))))</x:f>
        <x:v>À rechercher</x:v>
      </x:c>
      <x:c r="AI176" s="31"/>
      <x:c r="AJ176" s="31"/>
      <x:c r="AK176" s="35"/>
      <x:c r="AL176" s="31"/>
      <x:c r="AM176" s="31"/>
      <x:c r="AN176" s="31"/>
      <x:c r="AO176" s="31"/>
      <x:c r="AP176" s="31"/>
      <x:c r="AQ176" s="35"/>
      <x:c r="AR176" s="31"/>
      <x:c r="AS176" s="35"/>
      <x:c r="AT176" s="31"/>
      <x:c r="AU176" s="35"/>
      <x:c r="AV176" s="35"/>
      <x:c r="AW176" s="35"/>
      <x:c r="AX176" s="35"/>
      <x:c r="AY176" s="35"/>
      <x:c r="AZ176" s="35"/>
      <x:c r="BA176" s="35"/>
      <x:c r="BB176" s="35"/>
      <x:c r="BC176" s="35"/>
      <x:c r="BD176" s="35"/>
      <x:c r="BE176" s="31"/>
      <x:c r="BF176" s="31"/>
    </x:row>
    <x:row r="177">
      <x:c r="A177" s="31"/>
      <x:c r="B177" s="31"/>
      <x:c r="C177" s="33" t="str">
        <x:f>AH177</x:f>
        <x:v>À rechercher</x:v>
      </x:c>
      <x:c r="D177" s="31"/>
      <x:c r="E177" s="31"/>
      <x:c r="F177" s="31"/>
      <x:c r="G177" s="31"/>
      <x:c r="H177" s="31"/>
      <x:c r="I177" s="31"/>
      <x:c r="J177" s="37"/>
      <x:c r="K177" s="31"/>
      <x:c r="L177" s="31"/>
      <x:c r="M177" s="31"/>
      <x:c r="N177" s="31"/>
      <x:c r="O177" s="31"/>
      <x:c r="P177" s="31"/>
      <x:c r="Q177" s="31"/>
      <x:c r="R177" s="31"/>
      <x:c r="S177" s="35"/>
      <x:c r="T177" s="35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9" t="n">
        <x:f>COUNT(V177:AE177)</x:f>
        <x:v>0</x:v>
      </x:c>
      <x:c r="AG177" s="39" t="str">
        <x:f>IF(AF177&gt;=7,SUM(V177:AE177),"")</x:f>
      </x:c>
      <x:c r="AH177" s="33" t="str">
        <x:f>IF(AF177&lt;7,"À rechercher",IF(AG177&gt;=75,"P1",IF(AG177&gt;=60,"P2",IF(AG177&gt;=45,"P3","Faible priorité"))))</x:f>
        <x:v>À rechercher</x:v>
      </x:c>
      <x:c r="AI177" s="31"/>
      <x:c r="AJ177" s="31"/>
      <x:c r="AK177" s="35"/>
      <x:c r="AL177" s="31"/>
      <x:c r="AM177" s="31"/>
      <x:c r="AN177" s="31"/>
      <x:c r="AO177" s="31"/>
      <x:c r="AP177" s="31"/>
      <x:c r="AQ177" s="35"/>
      <x:c r="AR177" s="31"/>
      <x:c r="AS177" s="35"/>
      <x:c r="AT177" s="31"/>
      <x:c r="AU177" s="35"/>
      <x:c r="AV177" s="35"/>
      <x:c r="AW177" s="35"/>
      <x:c r="AX177" s="35"/>
      <x:c r="AY177" s="35"/>
      <x:c r="AZ177" s="35"/>
      <x:c r="BA177" s="35"/>
      <x:c r="BB177" s="35"/>
      <x:c r="BC177" s="35"/>
      <x:c r="BD177" s="35"/>
      <x:c r="BE177" s="31"/>
      <x:c r="BF177" s="31"/>
    </x:row>
    <x:row r="178">
      <x:c r="A178" s="31"/>
      <x:c r="B178" s="31"/>
      <x:c r="C178" s="33" t="str">
        <x:f>AH178</x:f>
        <x:v>À rechercher</x:v>
      </x:c>
      <x:c r="D178" s="31"/>
      <x:c r="E178" s="31"/>
      <x:c r="F178" s="31"/>
      <x:c r="G178" s="31"/>
      <x:c r="H178" s="31"/>
      <x:c r="I178" s="31"/>
      <x:c r="J178" s="37"/>
      <x:c r="K178" s="31"/>
      <x:c r="L178" s="31"/>
      <x:c r="M178" s="31"/>
      <x:c r="N178" s="31"/>
      <x:c r="O178" s="31"/>
      <x:c r="P178" s="31"/>
      <x:c r="Q178" s="31"/>
      <x:c r="R178" s="31"/>
      <x:c r="S178" s="35"/>
      <x:c r="T178" s="35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9" t="n">
        <x:f>COUNT(V178:AE178)</x:f>
        <x:v>0</x:v>
      </x:c>
      <x:c r="AG178" s="39" t="str">
        <x:f>IF(AF178&gt;=7,SUM(V178:AE178),"")</x:f>
      </x:c>
      <x:c r="AH178" s="33" t="str">
        <x:f>IF(AF178&lt;7,"À rechercher",IF(AG178&gt;=75,"P1",IF(AG178&gt;=60,"P2",IF(AG178&gt;=45,"P3","Faible priorité"))))</x:f>
        <x:v>À rechercher</x:v>
      </x:c>
      <x:c r="AI178" s="31"/>
      <x:c r="AJ178" s="31"/>
      <x:c r="AK178" s="35"/>
      <x:c r="AL178" s="31"/>
      <x:c r="AM178" s="31"/>
      <x:c r="AN178" s="31"/>
      <x:c r="AO178" s="31"/>
      <x:c r="AP178" s="31"/>
      <x:c r="AQ178" s="35"/>
      <x:c r="AR178" s="31"/>
      <x:c r="AS178" s="35"/>
      <x:c r="AT178" s="31"/>
      <x:c r="AU178" s="35"/>
      <x:c r="AV178" s="35"/>
      <x:c r="AW178" s="35"/>
      <x:c r="AX178" s="35"/>
      <x:c r="AY178" s="35"/>
      <x:c r="AZ178" s="35"/>
      <x:c r="BA178" s="35"/>
      <x:c r="BB178" s="35"/>
      <x:c r="BC178" s="35"/>
      <x:c r="BD178" s="35"/>
      <x:c r="BE178" s="31"/>
      <x:c r="BF178" s="31"/>
    </x:row>
    <x:row r="179">
      <x:c r="A179" s="31"/>
      <x:c r="B179" s="31"/>
      <x:c r="C179" s="33" t="str">
        <x:f>AH179</x:f>
        <x:v>À rechercher</x:v>
      </x:c>
      <x:c r="D179" s="31"/>
      <x:c r="E179" s="31"/>
      <x:c r="F179" s="31"/>
      <x:c r="G179" s="31"/>
      <x:c r="H179" s="31"/>
      <x:c r="I179" s="31"/>
      <x:c r="J179" s="37"/>
      <x:c r="K179" s="31"/>
      <x:c r="L179" s="31"/>
      <x:c r="M179" s="31"/>
      <x:c r="N179" s="31"/>
      <x:c r="O179" s="31"/>
      <x:c r="P179" s="31"/>
      <x:c r="Q179" s="31"/>
      <x:c r="R179" s="31"/>
      <x:c r="S179" s="35"/>
      <x:c r="T179" s="35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9" t="n">
        <x:f>COUNT(V179:AE179)</x:f>
        <x:v>0</x:v>
      </x:c>
      <x:c r="AG179" s="39" t="str">
        <x:f>IF(AF179&gt;=7,SUM(V179:AE179),"")</x:f>
      </x:c>
      <x:c r="AH179" s="33" t="str">
        <x:f>IF(AF179&lt;7,"À rechercher",IF(AG179&gt;=75,"P1",IF(AG179&gt;=60,"P2",IF(AG179&gt;=45,"P3","Faible priorité"))))</x:f>
        <x:v>À rechercher</x:v>
      </x:c>
      <x:c r="AI179" s="31"/>
      <x:c r="AJ179" s="31"/>
      <x:c r="AK179" s="35"/>
      <x:c r="AL179" s="31"/>
      <x:c r="AM179" s="31"/>
      <x:c r="AN179" s="31"/>
      <x:c r="AO179" s="31"/>
      <x:c r="AP179" s="31"/>
      <x:c r="AQ179" s="35"/>
      <x:c r="AR179" s="31"/>
      <x:c r="AS179" s="35"/>
      <x:c r="AT179" s="31"/>
      <x:c r="AU179" s="35"/>
      <x:c r="AV179" s="35"/>
      <x:c r="AW179" s="35"/>
      <x:c r="AX179" s="35"/>
      <x:c r="AY179" s="35"/>
      <x:c r="AZ179" s="35"/>
      <x:c r="BA179" s="35"/>
      <x:c r="BB179" s="35"/>
      <x:c r="BC179" s="35"/>
      <x:c r="BD179" s="35"/>
      <x:c r="BE179" s="31"/>
      <x:c r="BF179" s="31"/>
    </x:row>
    <x:row r="180">
      <x:c r="A180" s="31"/>
      <x:c r="B180" s="31"/>
      <x:c r="C180" s="33" t="str">
        <x:f>AH180</x:f>
        <x:v>À rechercher</x:v>
      </x:c>
      <x:c r="D180" s="31"/>
      <x:c r="E180" s="31"/>
      <x:c r="F180" s="31"/>
      <x:c r="G180" s="31"/>
      <x:c r="H180" s="31"/>
      <x:c r="I180" s="31"/>
      <x:c r="J180" s="37"/>
      <x:c r="K180" s="31"/>
      <x:c r="L180" s="31"/>
      <x:c r="M180" s="31"/>
      <x:c r="N180" s="31"/>
      <x:c r="O180" s="31"/>
      <x:c r="P180" s="31"/>
      <x:c r="Q180" s="31"/>
      <x:c r="R180" s="31"/>
      <x:c r="S180" s="35"/>
      <x:c r="T180" s="35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9" t="n">
        <x:f>COUNT(V180:AE180)</x:f>
        <x:v>0</x:v>
      </x:c>
      <x:c r="AG180" s="39" t="str">
        <x:f>IF(AF180&gt;=7,SUM(V180:AE180),"")</x:f>
      </x:c>
      <x:c r="AH180" s="33" t="str">
        <x:f>IF(AF180&lt;7,"À rechercher",IF(AG180&gt;=75,"P1",IF(AG180&gt;=60,"P2",IF(AG180&gt;=45,"P3","Faible priorité"))))</x:f>
        <x:v>À rechercher</x:v>
      </x:c>
      <x:c r="AI180" s="31"/>
      <x:c r="AJ180" s="31"/>
      <x:c r="AK180" s="35"/>
      <x:c r="AL180" s="31"/>
      <x:c r="AM180" s="31"/>
      <x:c r="AN180" s="31"/>
      <x:c r="AO180" s="31"/>
      <x:c r="AP180" s="31"/>
      <x:c r="AQ180" s="35"/>
      <x:c r="AR180" s="31"/>
      <x:c r="AS180" s="35"/>
      <x:c r="AT180" s="31"/>
      <x:c r="AU180" s="35"/>
      <x:c r="AV180" s="35"/>
      <x:c r="AW180" s="35"/>
      <x:c r="AX180" s="35"/>
      <x:c r="AY180" s="35"/>
      <x:c r="AZ180" s="35"/>
      <x:c r="BA180" s="35"/>
      <x:c r="BB180" s="35"/>
      <x:c r="BC180" s="35"/>
      <x:c r="BD180" s="35"/>
      <x:c r="BE180" s="31"/>
      <x:c r="BF180" s="31"/>
    </x:row>
    <x:row r="181">
      <x:c r="A181" s="31"/>
      <x:c r="B181" s="31"/>
      <x:c r="C181" s="33" t="str">
        <x:f>AH181</x:f>
        <x:v>À rechercher</x:v>
      </x:c>
      <x:c r="D181" s="31"/>
      <x:c r="E181" s="31"/>
      <x:c r="F181" s="31"/>
      <x:c r="G181" s="31"/>
      <x:c r="H181" s="31"/>
      <x:c r="I181" s="31"/>
      <x:c r="J181" s="37"/>
      <x:c r="K181" s="31"/>
      <x:c r="L181" s="31"/>
      <x:c r="M181" s="31"/>
      <x:c r="N181" s="31"/>
      <x:c r="O181" s="31"/>
      <x:c r="P181" s="31"/>
      <x:c r="Q181" s="31"/>
      <x:c r="R181" s="31"/>
      <x:c r="S181" s="35"/>
      <x:c r="T181" s="35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9" t="n">
        <x:f>COUNT(V181:AE181)</x:f>
        <x:v>0</x:v>
      </x:c>
      <x:c r="AG181" s="39" t="str">
        <x:f>IF(AF181&gt;=7,SUM(V181:AE181),"")</x:f>
      </x:c>
      <x:c r="AH181" s="33" t="str">
        <x:f>IF(AF181&lt;7,"À rechercher",IF(AG181&gt;=75,"P1",IF(AG181&gt;=60,"P2",IF(AG181&gt;=45,"P3","Faible priorité"))))</x:f>
        <x:v>À rechercher</x:v>
      </x:c>
      <x:c r="AI181" s="31"/>
      <x:c r="AJ181" s="31"/>
      <x:c r="AK181" s="35"/>
      <x:c r="AL181" s="31"/>
      <x:c r="AM181" s="31"/>
      <x:c r="AN181" s="31"/>
      <x:c r="AO181" s="31"/>
      <x:c r="AP181" s="31"/>
      <x:c r="AQ181" s="35"/>
      <x:c r="AR181" s="31"/>
      <x:c r="AS181" s="35"/>
      <x:c r="AT181" s="31"/>
      <x:c r="AU181" s="35"/>
      <x:c r="AV181" s="35"/>
      <x:c r="AW181" s="35"/>
      <x:c r="AX181" s="35"/>
      <x:c r="AY181" s="35"/>
      <x:c r="AZ181" s="35"/>
      <x:c r="BA181" s="35"/>
      <x:c r="BB181" s="35"/>
      <x:c r="BC181" s="35"/>
      <x:c r="BD181" s="35"/>
      <x:c r="BE181" s="31"/>
      <x:c r="BF181" s="31"/>
    </x:row>
    <x:row r="182">
      <x:c r="A182" s="31"/>
      <x:c r="B182" s="31"/>
      <x:c r="C182" s="33" t="str">
        <x:f>AH182</x:f>
        <x:v>À rechercher</x:v>
      </x:c>
      <x:c r="D182" s="31"/>
      <x:c r="E182" s="31"/>
      <x:c r="F182" s="31"/>
      <x:c r="G182" s="31"/>
      <x:c r="H182" s="31"/>
      <x:c r="I182" s="31"/>
      <x:c r="J182" s="37"/>
      <x:c r="K182" s="31"/>
      <x:c r="L182" s="31"/>
      <x:c r="M182" s="31"/>
      <x:c r="N182" s="31"/>
      <x:c r="O182" s="31"/>
      <x:c r="P182" s="31"/>
      <x:c r="Q182" s="31"/>
      <x:c r="R182" s="31"/>
      <x:c r="S182" s="35"/>
      <x:c r="T182" s="35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9" t="n">
        <x:f>COUNT(V182:AE182)</x:f>
        <x:v>0</x:v>
      </x:c>
      <x:c r="AG182" s="39" t="str">
        <x:f>IF(AF182&gt;=7,SUM(V182:AE182),"")</x:f>
      </x:c>
      <x:c r="AH182" s="33" t="str">
        <x:f>IF(AF182&lt;7,"À rechercher",IF(AG182&gt;=75,"P1",IF(AG182&gt;=60,"P2",IF(AG182&gt;=45,"P3","Faible priorité"))))</x:f>
        <x:v>À rechercher</x:v>
      </x:c>
      <x:c r="AI182" s="31"/>
      <x:c r="AJ182" s="31"/>
      <x:c r="AK182" s="35"/>
      <x:c r="AL182" s="31"/>
      <x:c r="AM182" s="31"/>
      <x:c r="AN182" s="31"/>
      <x:c r="AO182" s="31"/>
      <x:c r="AP182" s="31"/>
      <x:c r="AQ182" s="35"/>
      <x:c r="AR182" s="31"/>
      <x:c r="AS182" s="35"/>
      <x:c r="AT182" s="31"/>
      <x:c r="AU182" s="35"/>
      <x:c r="AV182" s="35"/>
      <x:c r="AW182" s="35"/>
      <x:c r="AX182" s="35"/>
      <x:c r="AY182" s="35"/>
      <x:c r="AZ182" s="35"/>
      <x:c r="BA182" s="35"/>
      <x:c r="BB182" s="35"/>
      <x:c r="BC182" s="35"/>
      <x:c r="BD182" s="35"/>
      <x:c r="BE182" s="31"/>
      <x:c r="BF182" s="31"/>
    </x:row>
    <x:row r="183">
      <x:c r="A183" s="31"/>
      <x:c r="B183" s="31"/>
      <x:c r="C183" s="33" t="str">
        <x:f>AH183</x:f>
        <x:v>À rechercher</x:v>
      </x:c>
      <x:c r="D183" s="31"/>
      <x:c r="E183" s="31"/>
      <x:c r="F183" s="31"/>
      <x:c r="G183" s="31"/>
      <x:c r="H183" s="31"/>
      <x:c r="I183" s="31"/>
      <x:c r="J183" s="37"/>
      <x:c r="K183" s="31"/>
      <x:c r="L183" s="31"/>
      <x:c r="M183" s="31"/>
      <x:c r="N183" s="31"/>
      <x:c r="O183" s="31"/>
      <x:c r="P183" s="31"/>
      <x:c r="Q183" s="31"/>
      <x:c r="R183" s="31"/>
      <x:c r="S183" s="35"/>
      <x:c r="T183" s="35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9" t="n">
        <x:f>COUNT(V183:AE183)</x:f>
        <x:v>0</x:v>
      </x:c>
      <x:c r="AG183" s="39" t="str">
        <x:f>IF(AF183&gt;=7,SUM(V183:AE183),"")</x:f>
      </x:c>
      <x:c r="AH183" s="33" t="str">
        <x:f>IF(AF183&lt;7,"À rechercher",IF(AG183&gt;=75,"P1",IF(AG183&gt;=60,"P2",IF(AG183&gt;=45,"P3","Faible priorité"))))</x:f>
        <x:v>À rechercher</x:v>
      </x:c>
      <x:c r="AI183" s="31"/>
      <x:c r="AJ183" s="31"/>
      <x:c r="AK183" s="35"/>
      <x:c r="AL183" s="31"/>
      <x:c r="AM183" s="31"/>
      <x:c r="AN183" s="31"/>
      <x:c r="AO183" s="31"/>
      <x:c r="AP183" s="31"/>
      <x:c r="AQ183" s="35"/>
      <x:c r="AR183" s="31"/>
      <x:c r="AS183" s="35"/>
      <x:c r="AT183" s="31"/>
      <x:c r="AU183" s="35"/>
      <x:c r="AV183" s="35"/>
      <x:c r="AW183" s="35"/>
      <x:c r="AX183" s="35"/>
      <x:c r="AY183" s="35"/>
      <x:c r="AZ183" s="35"/>
      <x:c r="BA183" s="35"/>
      <x:c r="BB183" s="35"/>
      <x:c r="BC183" s="35"/>
      <x:c r="BD183" s="35"/>
      <x:c r="BE183" s="31"/>
      <x:c r="BF183" s="31"/>
    </x:row>
    <x:row r="184">
      <x:c r="A184" s="31"/>
      <x:c r="B184" s="31"/>
      <x:c r="C184" s="33" t="str">
        <x:f>AH184</x:f>
        <x:v>À rechercher</x:v>
      </x:c>
      <x:c r="D184" s="31"/>
      <x:c r="E184" s="31"/>
      <x:c r="F184" s="31"/>
      <x:c r="G184" s="31"/>
      <x:c r="H184" s="31"/>
      <x:c r="I184" s="31"/>
      <x:c r="J184" s="37"/>
      <x:c r="K184" s="31"/>
      <x:c r="L184" s="31"/>
      <x:c r="M184" s="31"/>
      <x:c r="N184" s="31"/>
      <x:c r="O184" s="31"/>
      <x:c r="P184" s="31"/>
      <x:c r="Q184" s="31"/>
      <x:c r="R184" s="31"/>
      <x:c r="S184" s="35"/>
      <x:c r="T184" s="35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9" t="n">
        <x:f>COUNT(V184:AE184)</x:f>
        <x:v>0</x:v>
      </x:c>
      <x:c r="AG184" s="39" t="str">
        <x:f>IF(AF184&gt;=7,SUM(V184:AE184),"")</x:f>
      </x:c>
      <x:c r="AH184" s="33" t="str">
        <x:f>IF(AF184&lt;7,"À rechercher",IF(AG184&gt;=75,"P1",IF(AG184&gt;=60,"P2",IF(AG184&gt;=45,"P3","Faible priorité"))))</x:f>
        <x:v>À rechercher</x:v>
      </x:c>
      <x:c r="AI184" s="31"/>
      <x:c r="AJ184" s="31"/>
      <x:c r="AK184" s="35"/>
      <x:c r="AL184" s="31"/>
      <x:c r="AM184" s="31"/>
      <x:c r="AN184" s="31"/>
      <x:c r="AO184" s="31"/>
      <x:c r="AP184" s="31"/>
      <x:c r="AQ184" s="35"/>
      <x:c r="AR184" s="31"/>
      <x:c r="AS184" s="35"/>
      <x:c r="AT184" s="31"/>
      <x:c r="AU184" s="35"/>
      <x:c r="AV184" s="35"/>
      <x:c r="AW184" s="35"/>
      <x:c r="AX184" s="35"/>
      <x:c r="AY184" s="35"/>
      <x:c r="AZ184" s="35"/>
      <x:c r="BA184" s="35"/>
      <x:c r="BB184" s="35"/>
      <x:c r="BC184" s="35"/>
      <x:c r="BD184" s="35"/>
      <x:c r="BE184" s="31"/>
      <x:c r="BF184" s="31"/>
    </x:row>
    <x:row r="185">
      <x:c r="A185" s="31"/>
      <x:c r="B185" s="31"/>
      <x:c r="C185" s="33" t="str">
        <x:f>AH185</x:f>
        <x:v>À rechercher</x:v>
      </x:c>
      <x:c r="D185" s="31"/>
      <x:c r="E185" s="31"/>
      <x:c r="F185" s="31"/>
      <x:c r="G185" s="31"/>
      <x:c r="H185" s="31"/>
      <x:c r="I185" s="31"/>
      <x:c r="J185" s="37"/>
      <x:c r="K185" s="31"/>
      <x:c r="L185" s="31"/>
      <x:c r="M185" s="31"/>
      <x:c r="N185" s="31"/>
      <x:c r="O185" s="31"/>
      <x:c r="P185" s="31"/>
      <x:c r="Q185" s="31"/>
      <x:c r="R185" s="31"/>
      <x:c r="S185" s="35"/>
      <x:c r="T185" s="35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9" t="n">
        <x:f>COUNT(V185:AE185)</x:f>
        <x:v>0</x:v>
      </x:c>
      <x:c r="AG185" s="39" t="str">
        <x:f>IF(AF185&gt;=7,SUM(V185:AE185),"")</x:f>
      </x:c>
      <x:c r="AH185" s="33" t="str">
        <x:f>IF(AF185&lt;7,"À rechercher",IF(AG185&gt;=75,"P1",IF(AG185&gt;=60,"P2",IF(AG185&gt;=45,"P3","Faible priorité"))))</x:f>
        <x:v>À rechercher</x:v>
      </x:c>
      <x:c r="AI185" s="31"/>
      <x:c r="AJ185" s="31"/>
      <x:c r="AK185" s="35"/>
      <x:c r="AL185" s="31"/>
      <x:c r="AM185" s="31"/>
      <x:c r="AN185" s="31"/>
      <x:c r="AO185" s="31"/>
      <x:c r="AP185" s="31"/>
      <x:c r="AQ185" s="35"/>
      <x:c r="AR185" s="31"/>
      <x:c r="AS185" s="35"/>
      <x:c r="AT185" s="31"/>
      <x:c r="AU185" s="35"/>
      <x:c r="AV185" s="35"/>
      <x:c r="AW185" s="35"/>
      <x:c r="AX185" s="35"/>
      <x:c r="AY185" s="35"/>
      <x:c r="AZ185" s="35"/>
      <x:c r="BA185" s="35"/>
      <x:c r="BB185" s="35"/>
      <x:c r="BC185" s="35"/>
      <x:c r="BD185" s="35"/>
      <x:c r="BE185" s="31"/>
      <x:c r="BF185" s="31"/>
    </x:row>
    <x:row r="186">
      <x:c r="A186" s="31"/>
      <x:c r="B186" s="31"/>
      <x:c r="C186" s="33" t="str">
        <x:f>AH186</x:f>
        <x:v>À rechercher</x:v>
      </x:c>
      <x:c r="D186" s="31"/>
      <x:c r="E186" s="31"/>
      <x:c r="F186" s="31"/>
      <x:c r="G186" s="31"/>
      <x:c r="H186" s="31"/>
      <x:c r="I186" s="31"/>
      <x:c r="J186" s="37"/>
      <x:c r="K186" s="31"/>
      <x:c r="L186" s="31"/>
      <x:c r="M186" s="31"/>
      <x:c r="N186" s="31"/>
      <x:c r="O186" s="31"/>
      <x:c r="P186" s="31"/>
      <x:c r="Q186" s="31"/>
      <x:c r="R186" s="31"/>
      <x:c r="S186" s="35"/>
      <x:c r="T186" s="35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9" t="n">
        <x:f>COUNT(V186:AE186)</x:f>
        <x:v>0</x:v>
      </x:c>
      <x:c r="AG186" s="39" t="str">
        <x:f>IF(AF186&gt;=7,SUM(V186:AE186),"")</x:f>
      </x:c>
      <x:c r="AH186" s="33" t="str">
        <x:f>IF(AF186&lt;7,"À rechercher",IF(AG186&gt;=75,"P1",IF(AG186&gt;=60,"P2",IF(AG186&gt;=45,"P3","Faible priorité"))))</x:f>
        <x:v>À rechercher</x:v>
      </x:c>
      <x:c r="AI186" s="31"/>
      <x:c r="AJ186" s="31"/>
      <x:c r="AK186" s="35"/>
      <x:c r="AL186" s="31"/>
      <x:c r="AM186" s="31"/>
      <x:c r="AN186" s="31"/>
      <x:c r="AO186" s="31"/>
      <x:c r="AP186" s="31"/>
      <x:c r="AQ186" s="35"/>
      <x:c r="AR186" s="31"/>
      <x:c r="AS186" s="35"/>
      <x:c r="AT186" s="31"/>
      <x:c r="AU186" s="35"/>
      <x:c r="AV186" s="35"/>
      <x:c r="AW186" s="35"/>
      <x:c r="AX186" s="35"/>
      <x:c r="AY186" s="35"/>
      <x:c r="AZ186" s="35"/>
      <x:c r="BA186" s="35"/>
      <x:c r="BB186" s="35"/>
      <x:c r="BC186" s="35"/>
      <x:c r="BD186" s="35"/>
      <x:c r="BE186" s="31"/>
      <x:c r="BF186" s="31"/>
    </x:row>
    <x:row r="187">
      <x:c r="A187" s="31"/>
      <x:c r="B187" s="31"/>
      <x:c r="C187" s="33" t="str">
        <x:f>AH187</x:f>
        <x:v>À rechercher</x:v>
      </x:c>
      <x:c r="D187" s="31"/>
      <x:c r="E187" s="31"/>
      <x:c r="F187" s="31"/>
      <x:c r="G187" s="31"/>
      <x:c r="H187" s="31"/>
      <x:c r="I187" s="31"/>
      <x:c r="J187" s="37"/>
      <x:c r="K187" s="31"/>
      <x:c r="L187" s="31"/>
      <x:c r="M187" s="31"/>
      <x:c r="N187" s="31"/>
      <x:c r="O187" s="31"/>
      <x:c r="P187" s="31"/>
      <x:c r="Q187" s="31"/>
      <x:c r="R187" s="31"/>
      <x:c r="S187" s="35"/>
      <x:c r="T187" s="35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9" t="n">
        <x:f>COUNT(V187:AE187)</x:f>
        <x:v>0</x:v>
      </x:c>
      <x:c r="AG187" s="39" t="str">
        <x:f>IF(AF187&gt;=7,SUM(V187:AE187),"")</x:f>
      </x:c>
      <x:c r="AH187" s="33" t="str">
        <x:f>IF(AF187&lt;7,"À rechercher",IF(AG187&gt;=75,"P1",IF(AG187&gt;=60,"P2",IF(AG187&gt;=45,"P3","Faible priorité"))))</x:f>
        <x:v>À rechercher</x:v>
      </x:c>
      <x:c r="AI187" s="31"/>
      <x:c r="AJ187" s="31"/>
      <x:c r="AK187" s="35"/>
      <x:c r="AL187" s="31"/>
      <x:c r="AM187" s="31"/>
      <x:c r="AN187" s="31"/>
      <x:c r="AO187" s="31"/>
      <x:c r="AP187" s="31"/>
      <x:c r="AQ187" s="35"/>
      <x:c r="AR187" s="31"/>
      <x:c r="AS187" s="35"/>
      <x:c r="AT187" s="31"/>
      <x:c r="AU187" s="35"/>
      <x:c r="AV187" s="35"/>
      <x:c r="AW187" s="35"/>
      <x:c r="AX187" s="35"/>
      <x:c r="AY187" s="35"/>
      <x:c r="AZ187" s="35"/>
      <x:c r="BA187" s="35"/>
      <x:c r="BB187" s="35"/>
      <x:c r="BC187" s="35"/>
      <x:c r="BD187" s="35"/>
      <x:c r="BE187" s="31"/>
      <x:c r="BF187" s="31"/>
    </x:row>
    <x:row r="188">
      <x:c r="A188" s="31"/>
      <x:c r="B188" s="31"/>
      <x:c r="C188" s="33" t="str">
        <x:f>AH188</x:f>
        <x:v>À rechercher</x:v>
      </x:c>
      <x:c r="D188" s="31"/>
      <x:c r="E188" s="31"/>
      <x:c r="F188" s="31"/>
      <x:c r="G188" s="31"/>
      <x:c r="H188" s="31"/>
      <x:c r="I188" s="31"/>
      <x:c r="J188" s="37"/>
      <x:c r="K188" s="31"/>
      <x:c r="L188" s="31"/>
      <x:c r="M188" s="31"/>
      <x:c r="N188" s="31"/>
      <x:c r="O188" s="31"/>
      <x:c r="P188" s="31"/>
      <x:c r="Q188" s="31"/>
      <x:c r="R188" s="31"/>
      <x:c r="S188" s="35"/>
      <x:c r="T188" s="35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9" t="n">
        <x:f>COUNT(V188:AE188)</x:f>
        <x:v>0</x:v>
      </x:c>
      <x:c r="AG188" s="39" t="str">
        <x:f>IF(AF188&gt;=7,SUM(V188:AE188),"")</x:f>
      </x:c>
      <x:c r="AH188" s="33" t="str">
        <x:f>IF(AF188&lt;7,"À rechercher",IF(AG188&gt;=75,"P1",IF(AG188&gt;=60,"P2",IF(AG188&gt;=45,"P3","Faible priorité"))))</x:f>
        <x:v>À rechercher</x:v>
      </x:c>
      <x:c r="AI188" s="31"/>
      <x:c r="AJ188" s="31"/>
      <x:c r="AK188" s="35"/>
      <x:c r="AL188" s="31"/>
      <x:c r="AM188" s="31"/>
      <x:c r="AN188" s="31"/>
      <x:c r="AO188" s="31"/>
      <x:c r="AP188" s="31"/>
      <x:c r="AQ188" s="35"/>
      <x:c r="AR188" s="31"/>
      <x:c r="AS188" s="35"/>
      <x:c r="AT188" s="31"/>
      <x:c r="AU188" s="35"/>
      <x:c r="AV188" s="35"/>
      <x:c r="AW188" s="35"/>
      <x:c r="AX188" s="35"/>
      <x:c r="AY188" s="35"/>
      <x:c r="AZ188" s="35"/>
      <x:c r="BA188" s="35"/>
      <x:c r="BB188" s="35"/>
      <x:c r="BC188" s="35"/>
      <x:c r="BD188" s="35"/>
      <x:c r="BE188" s="31"/>
      <x:c r="BF188" s="31"/>
    </x:row>
    <x:row r="189">
      <x:c r="A189" s="31"/>
      <x:c r="B189" s="31"/>
      <x:c r="C189" s="33" t="str">
        <x:f>AH189</x:f>
        <x:v>À rechercher</x:v>
      </x:c>
      <x:c r="D189" s="31"/>
      <x:c r="E189" s="31"/>
      <x:c r="F189" s="31"/>
      <x:c r="G189" s="31"/>
      <x:c r="H189" s="31"/>
      <x:c r="I189" s="31"/>
      <x:c r="J189" s="37"/>
      <x:c r="K189" s="31"/>
      <x:c r="L189" s="31"/>
      <x:c r="M189" s="31"/>
      <x:c r="N189" s="31"/>
      <x:c r="O189" s="31"/>
      <x:c r="P189" s="31"/>
      <x:c r="Q189" s="31"/>
      <x:c r="R189" s="31"/>
      <x:c r="S189" s="35"/>
      <x:c r="T189" s="35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9" t="n">
        <x:f>COUNT(V189:AE189)</x:f>
        <x:v>0</x:v>
      </x:c>
      <x:c r="AG189" s="39" t="str">
        <x:f>IF(AF189&gt;=7,SUM(V189:AE189),"")</x:f>
      </x:c>
      <x:c r="AH189" s="33" t="str">
        <x:f>IF(AF189&lt;7,"À rechercher",IF(AG189&gt;=75,"P1",IF(AG189&gt;=60,"P2",IF(AG189&gt;=45,"P3","Faible priorité"))))</x:f>
        <x:v>À rechercher</x:v>
      </x:c>
      <x:c r="AI189" s="31"/>
      <x:c r="AJ189" s="31"/>
      <x:c r="AK189" s="35"/>
      <x:c r="AL189" s="31"/>
      <x:c r="AM189" s="31"/>
      <x:c r="AN189" s="31"/>
      <x:c r="AO189" s="31"/>
      <x:c r="AP189" s="31"/>
      <x:c r="AQ189" s="35"/>
      <x:c r="AR189" s="31"/>
      <x:c r="AS189" s="35"/>
      <x:c r="AT189" s="31"/>
      <x:c r="AU189" s="35"/>
      <x:c r="AV189" s="35"/>
      <x:c r="AW189" s="35"/>
      <x:c r="AX189" s="35"/>
      <x:c r="AY189" s="35"/>
      <x:c r="AZ189" s="35"/>
      <x:c r="BA189" s="35"/>
      <x:c r="BB189" s="35"/>
      <x:c r="BC189" s="35"/>
      <x:c r="BD189" s="35"/>
      <x:c r="BE189" s="31"/>
      <x:c r="BF189" s="31"/>
    </x:row>
    <x:row r="190">
      <x:c r="A190" s="31"/>
      <x:c r="B190" s="31"/>
      <x:c r="C190" s="33" t="str">
        <x:f>AH190</x:f>
        <x:v>À rechercher</x:v>
      </x:c>
      <x:c r="D190" s="31"/>
      <x:c r="E190" s="31"/>
      <x:c r="F190" s="31"/>
      <x:c r="G190" s="31"/>
      <x:c r="H190" s="31"/>
      <x:c r="I190" s="31"/>
      <x:c r="J190" s="37"/>
      <x:c r="K190" s="31"/>
      <x:c r="L190" s="31"/>
      <x:c r="M190" s="31"/>
      <x:c r="N190" s="31"/>
      <x:c r="O190" s="31"/>
      <x:c r="P190" s="31"/>
      <x:c r="Q190" s="31"/>
      <x:c r="R190" s="31"/>
      <x:c r="S190" s="35"/>
      <x:c r="T190" s="35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9" t="n">
        <x:f>COUNT(V190:AE190)</x:f>
        <x:v>0</x:v>
      </x:c>
      <x:c r="AG190" s="39" t="str">
        <x:f>IF(AF190&gt;=7,SUM(V190:AE190),"")</x:f>
      </x:c>
      <x:c r="AH190" s="33" t="str">
        <x:f>IF(AF190&lt;7,"À rechercher",IF(AG190&gt;=75,"P1",IF(AG190&gt;=60,"P2",IF(AG190&gt;=45,"P3","Faible priorité"))))</x:f>
        <x:v>À rechercher</x:v>
      </x:c>
      <x:c r="AI190" s="31"/>
      <x:c r="AJ190" s="31"/>
      <x:c r="AK190" s="35"/>
      <x:c r="AL190" s="31"/>
      <x:c r="AM190" s="31"/>
      <x:c r="AN190" s="31"/>
      <x:c r="AO190" s="31"/>
      <x:c r="AP190" s="31"/>
      <x:c r="AQ190" s="35"/>
      <x:c r="AR190" s="31"/>
      <x:c r="AS190" s="35"/>
      <x:c r="AT190" s="31"/>
      <x:c r="AU190" s="35"/>
      <x:c r="AV190" s="35"/>
      <x:c r="AW190" s="35"/>
      <x:c r="AX190" s="35"/>
      <x:c r="AY190" s="35"/>
      <x:c r="AZ190" s="35"/>
      <x:c r="BA190" s="35"/>
      <x:c r="BB190" s="35"/>
      <x:c r="BC190" s="35"/>
      <x:c r="BD190" s="35"/>
      <x:c r="BE190" s="31"/>
      <x:c r="BF190" s="31"/>
    </x:row>
    <x:row r="191">
      <x:c r="A191" s="31"/>
      <x:c r="B191" s="31"/>
      <x:c r="C191" s="33" t="str">
        <x:f>AH191</x:f>
        <x:v>À rechercher</x:v>
      </x:c>
      <x:c r="D191" s="31"/>
      <x:c r="E191" s="31"/>
      <x:c r="F191" s="31"/>
      <x:c r="G191" s="31"/>
      <x:c r="H191" s="31"/>
      <x:c r="I191" s="31"/>
      <x:c r="J191" s="37"/>
      <x:c r="K191" s="31"/>
      <x:c r="L191" s="31"/>
      <x:c r="M191" s="31"/>
      <x:c r="N191" s="31"/>
      <x:c r="O191" s="31"/>
      <x:c r="P191" s="31"/>
      <x:c r="Q191" s="31"/>
      <x:c r="R191" s="31"/>
      <x:c r="S191" s="35"/>
      <x:c r="T191" s="35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9" t="n">
        <x:f>COUNT(V191:AE191)</x:f>
        <x:v>0</x:v>
      </x:c>
      <x:c r="AG191" s="39" t="str">
        <x:f>IF(AF191&gt;=7,SUM(V191:AE191),"")</x:f>
      </x:c>
      <x:c r="AH191" s="33" t="str">
        <x:f>IF(AF191&lt;7,"À rechercher",IF(AG191&gt;=75,"P1",IF(AG191&gt;=60,"P2",IF(AG191&gt;=45,"P3","Faible priorité"))))</x:f>
        <x:v>À rechercher</x:v>
      </x:c>
      <x:c r="AI191" s="31"/>
      <x:c r="AJ191" s="31"/>
      <x:c r="AK191" s="35"/>
      <x:c r="AL191" s="31"/>
      <x:c r="AM191" s="31"/>
      <x:c r="AN191" s="31"/>
      <x:c r="AO191" s="31"/>
      <x:c r="AP191" s="31"/>
      <x:c r="AQ191" s="35"/>
      <x:c r="AR191" s="31"/>
      <x:c r="AS191" s="35"/>
      <x:c r="AT191" s="31"/>
      <x:c r="AU191" s="35"/>
      <x:c r="AV191" s="35"/>
      <x:c r="AW191" s="35"/>
      <x:c r="AX191" s="35"/>
      <x:c r="AY191" s="35"/>
      <x:c r="AZ191" s="35"/>
      <x:c r="BA191" s="35"/>
      <x:c r="BB191" s="35"/>
      <x:c r="BC191" s="35"/>
      <x:c r="BD191" s="35"/>
      <x:c r="BE191" s="31"/>
      <x:c r="BF191" s="31"/>
    </x:row>
    <x:row r="192">
      <x:c r="A192" s="31"/>
      <x:c r="B192" s="31"/>
      <x:c r="C192" s="33" t="str">
        <x:f>AH192</x:f>
        <x:v>À rechercher</x:v>
      </x:c>
      <x:c r="D192" s="31"/>
      <x:c r="E192" s="31"/>
      <x:c r="F192" s="31"/>
      <x:c r="G192" s="31"/>
      <x:c r="H192" s="31"/>
      <x:c r="I192" s="31"/>
      <x:c r="J192" s="37"/>
      <x:c r="K192" s="31"/>
      <x:c r="L192" s="31"/>
      <x:c r="M192" s="31"/>
      <x:c r="N192" s="31"/>
      <x:c r="O192" s="31"/>
      <x:c r="P192" s="31"/>
      <x:c r="Q192" s="31"/>
      <x:c r="R192" s="31"/>
      <x:c r="S192" s="35"/>
      <x:c r="T192" s="35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9" t="n">
        <x:f>COUNT(V192:AE192)</x:f>
        <x:v>0</x:v>
      </x:c>
      <x:c r="AG192" s="39" t="str">
        <x:f>IF(AF192&gt;=7,SUM(V192:AE192),"")</x:f>
      </x:c>
      <x:c r="AH192" s="33" t="str">
        <x:f>IF(AF192&lt;7,"À rechercher",IF(AG192&gt;=75,"P1",IF(AG192&gt;=60,"P2",IF(AG192&gt;=45,"P3","Faible priorité"))))</x:f>
        <x:v>À rechercher</x:v>
      </x:c>
      <x:c r="AI192" s="31"/>
      <x:c r="AJ192" s="31"/>
      <x:c r="AK192" s="35"/>
      <x:c r="AL192" s="31"/>
      <x:c r="AM192" s="31"/>
      <x:c r="AN192" s="31"/>
      <x:c r="AO192" s="31"/>
      <x:c r="AP192" s="31"/>
      <x:c r="AQ192" s="35"/>
      <x:c r="AR192" s="31"/>
      <x:c r="AS192" s="35"/>
      <x:c r="AT192" s="31"/>
      <x:c r="AU192" s="35"/>
      <x:c r="AV192" s="35"/>
      <x:c r="AW192" s="35"/>
      <x:c r="AX192" s="35"/>
      <x:c r="AY192" s="35"/>
      <x:c r="AZ192" s="35"/>
      <x:c r="BA192" s="35"/>
      <x:c r="BB192" s="35"/>
      <x:c r="BC192" s="35"/>
      <x:c r="BD192" s="35"/>
      <x:c r="BE192" s="31"/>
      <x:c r="BF192" s="31"/>
    </x:row>
    <x:row r="193">
      <x:c r="A193" s="31"/>
      <x:c r="B193" s="31"/>
      <x:c r="C193" s="33" t="str">
        <x:f>AH193</x:f>
        <x:v>À rechercher</x:v>
      </x:c>
      <x:c r="D193" s="31"/>
      <x:c r="E193" s="31"/>
      <x:c r="F193" s="31"/>
      <x:c r="G193" s="31"/>
      <x:c r="H193" s="31"/>
      <x:c r="I193" s="31"/>
      <x:c r="J193" s="37"/>
      <x:c r="K193" s="31"/>
      <x:c r="L193" s="31"/>
      <x:c r="M193" s="31"/>
      <x:c r="N193" s="31"/>
      <x:c r="O193" s="31"/>
      <x:c r="P193" s="31"/>
      <x:c r="Q193" s="31"/>
      <x:c r="R193" s="31"/>
      <x:c r="S193" s="35"/>
      <x:c r="T193" s="35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9" t="n">
        <x:f>COUNT(V193:AE193)</x:f>
        <x:v>0</x:v>
      </x:c>
      <x:c r="AG193" s="39" t="str">
        <x:f>IF(AF193&gt;=7,SUM(V193:AE193),"")</x:f>
      </x:c>
      <x:c r="AH193" s="33" t="str">
        <x:f>IF(AF193&lt;7,"À rechercher",IF(AG193&gt;=75,"P1",IF(AG193&gt;=60,"P2",IF(AG193&gt;=45,"P3","Faible priorité"))))</x:f>
        <x:v>À rechercher</x:v>
      </x:c>
      <x:c r="AI193" s="31"/>
      <x:c r="AJ193" s="31"/>
      <x:c r="AK193" s="35"/>
      <x:c r="AL193" s="31"/>
      <x:c r="AM193" s="31"/>
      <x:c r="AN193" s="31"/>
      <x:c r="AO193" s="31"/>
      <x:c r="AP193" s="31"/>
      <x:c r="AQ193" s="35"/>
      <x:c r="AR193" s="31"/>
      <x:c r="AS193" s="35"/>
      <x:c r="AT193" s="31"/>
      <x:c r="AU193" s="35"/>
      <x:c r="AV193" s="35"/>
      <x:c r="AW193" s="35"/>
      <x:c r="AX193" s="35"/>
      <x:c r="AY193" s="35"/>
      <x:c r="AZ193" s="35"/>
      <x:c r="BA193" s="35"/>
      <x:c r="BB193" s="35"/>
      <x:c r="BC193" s="35"/>
      <x:c r="BD193" s="35"/>
      <x:c r="BE193" s="31"/>
      <x:c r="BF193" s="31"/>
    </x:row>
    <x:row r="194">
      <x:c r="A194" s="31"/>
      <x:c r="B194" s="31"/>
      <x:c r="C194" s="33" t="str">
        <x:f>AH194</x:f>
        <x:v>À rechercher</x:v>
      </x:c>
      <x:c r="D194" s="31"/>
      <x:c r="E194" s="31"/>
      <x:c r="F194" s="31"/>
      <x:c r="G194" s="31"/>
      <x:c r="H194" s="31"/>
      <x:c r="I194" s="31"/>
      <x:c r="J194" s="37"/>
      <x:c r="K194" s="31"/>
      <x:c r="L194" s="31"/>
      <x:c r="M194" s="31"/>
      <x:c r="N194" s="31"/>
      <x:c r="O194" s="31"/>
      <x:c r="P194" s="31"/>
      <x:c r="Q194" s="31"/>
      <x:c r="R194" s="31"/>
      <x:c r="S194" s="35"/>
      <x:c r="T194" s="35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9" t="n">
        <x:f>COUNT(V194:AE194)</x:f>
        <x:v>0</x:v>
      </x:c>
      <x:c r="AG194" s="39" t="str">
        <x:f>IF(AF194&gt;=7,SUM(V194:AE194),"")</x:f>
      </x:c>
      <x:c r="AH194" s="33" t="str">
        <x:f>IF(AF194&lt;7,"À rechercher",IF(AG194&gt;=75,"P1",IF(AG194&gt;=60,"P2",IF(AG194&gt;=45,"P3","Faible priorité"))))</x:f>
        <x:v>À rechercher</x:v>
      </x:c>
      <x:c r="AI194" s="31"/>
      <x:c r="AJ194" s="31"/>
      <x:c r="AK194" s="35"/>
      <x:c r="AL194" s="31"/>
      <x:c r="AM194" s="31"/>
      <x:c r="AN194" s="31"/>
      <x:c r="AO194" s="31"/>
      <x:c r="AP194" s="31"/>
      <x:c r="AQ194" s="35"/>
      <x:c r="AR194" s="31"/>
      <x:c r="AS194" s="35"/>
      <x:c r="AT194" s="31"/>
      <x:c r="AU194" s="35"/>
      <x:c r="AV194" s="35"/>
      <x:c r="AW194" s="35"/>
      <x:c r="AX194" s="35"/>
      <x:c r="AY194" s="35"/>
      <x:c r="AZ194" s="35"/>
      <x:c r="BA194" s="35"/>
      <x:c r="BB194" s="35"/>
      <x:c r="BC194" s="35"/>
      <x:c r="BD194" s="35"/>
      <x:c r="BE194" s="31"/>
      <x:c r="BF194" s="31"/>
    </x:row>
    <x:row r="195">
      <x:c r="A195" s="31"/>
      <x:c r="B195" s="31"/>
      <x:c r="C195" s="33" t="str">
        <x:f>AH195</x:f>
        <x:v>À rechercher</x:v>
      </x:c>
      <x:c r="D195" s="31"/>
      <x:c r="E195" s="31"/>
      <x:c r="F195" s="31"/>
      <x:c r="G195" s="31"/>
      <x:c r="H195" s="31"/>
      <x:c r="I195" s="31"/>
      <x:c r="J195" s="37"/>
      <x:c r="K195" s="31"/>
      <x:c r="L195" s="31"/>
      <x:c r="M195" s="31"/>
      <x:c r="N195" s="31"/>
      <x:c r="O195" s="31"/>
      <x:c r="P195" s="31"/>
      <x:c r="Q195" s="31"/>
      <x:c r="R195" s="31"/>
      <x:c r="S195" s="35"/>
      <x:c r="T195" s="35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9" t="n">
        <x:f>COUNT(V195:AE195)</x:f>
        <x:v>0</x:v>
      </x:c>
      <x:c r="AG195" s="39" t="str">
        <x:f>IF(AF195&gt;=7,SUM(V195:AE195),"")</x:f>
      </x:c>
      <x:c r="AH195" s="33" t="str">
        <x:f>IF(AF195&lt;7,"À rechercher",IF(AG195&gt;=75,"P1",IF(AG195&gt;=60,"P2",IF(AG195&gt;=45,"P3","Faible priorité"))))</x:f>
        <x:v>À rechercher</x:v>
      </x:c>
      <x:c r="AI195" s="31"/>
      <x:c r="AJ195" s="31"/>
      <x:c r="AK195" s="35"/>
      <x:c r="AL195" s="31"/>
      <x:c r="AM195" s="31"/>
      <x:c r="AN195" s="31"/>
      <x:c r="AO195" s="31"/>
      <x:c r="AP195" s="31"/>
      <x:c r="AQ195" s="35"/>
      <x:c r="AR195" s="31"/>
      <x:c r="AS195" s="35"/>
      <x:c r="AT195" s="31"/>
      <x:c r="AU195" s="35"/>
      <x:c r="AV195" s="35"/>
      <x:c r="AW195" s="35"/>
      <x:c r="AX195" s="35"/>
      <x:c r="AY195" s="35"/>
      <x:c r="AZ195" s="35"/>
      <x:c r="BA195" s="35"/>
      <x:c r="BB195" s="35"/>
      <x:c r="BC195" s="35"/>
      <x:c r="BD195" s="35"/>
      <x:c r="BE195" s="31"/>
      <x:c r="BF195" s="31"/>
    </x:row>
    <x:row r="196">
      <x:c r="A196" s="31"/>
      <x:c r="B196" s="31"/>
      <x:c r="C196" s="33" t="str">
        <x:f>AH196</x:f>
        <x:v>À rechercher</x:v>
      </x:c>
      <x:c r="D196" s="31"/>
      <x:c r="E196" s="31"/>
      <x:c r="F196" s="31"/>
      <x:c r="G196" s="31"/>
      <x:c r="H196" s="31"/>
      <x:c r="I196" s="31"/>
      <x:c r="J196" s="37"/>
      <x:c r="K196" s="31"/>
      <x:c r="L196" s="31"/>
      <x:c r="M196" s="31"/>
      <x:c r="N196" s="31"/>
      <x:c r="O196" s="31"/>
      <x:c r="P196" s="31"/>
      <x:c r="Q196" s="31"/>
      <x:c r="R196" s="31"/>
      <x:c r="S196" s="35"/>
      <x:c r="T196" s="35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9" t="n">
        <x:f>COUNT(V196:AE196)</x:f>
        <x:v>0</x:v>
      </x:c>
      <x:c r="AG196" s="39" t="str">
        <x:f>IF(AF196&gt;=7,SUM(V196:AE196),"")</x:f>
      </x:c>
      <x:c r="AH196" s="33" t="str">
        <x:f>IF(AF196&lt;7,"À rechercher",IF(AG196&gt;=75,"P1",IF(AG196&gt;=60,"P2",IF(AG196&gt;=45,"P3","Faible priorité"))))</x:f>
        <x:v>À rechercher</x:v>
      </x:c>
      <x:c r="AI196" s="31"/>
      <x:c r="AJ196" s="31"/>
      <x:c r="AK196" s="35"/>
      <x:c r="AL196" s="31"/>
      <x:c r="AM196" s="31"/>
      <x:c r="AN196" s="31"/>
      <x:c r="AO196" s="31"/>
      <x:c r="AP196" s="31"/>
      <x:c r="AQ196" s="35"/>
      <x:c r="AR196" s="31"/>
      <x:c r="AS196" s="35"/>
      <x:c r="AT196" s="31"/>
      <x:c r="AU196" s="35"/>
      <x:c r="AV196" s="35"/>
      <x:c r="AW196" s="35"/>
      <x:c r="AX196" s="35"/>
      <x:c r="AY196" s="35"/>
      <x:c r="AZ196" s="35"/>
      <x:c r="BA196" s="35"/>
      <x:c r="BB196" s="35"/>
      <x:c r="BC196" s="35"/>
      <x:c r="BD196" s="35"/>
      <x:c r="BE196" s="31"/>
      <x:c r="BF196" s="31"/>
    </x:row>
    <x:row r="197">
      <x:c r="A197" s="31"/>
      <x:c r="B197" s="31"/>
      <x:c r="C197" s="33" t="str">
        <x:f>AH197</x:f>
        <x:v>À rechercher</x:v>
      </x:c>
      <x:c r="D197" s="31"/>
      <x:c r="E197" s="31"/>
      <x:c r="F197" s="31"/>
      <x:c r="G197" s="31"/>
      <x:c r="H197" s="31"/>
      <x:c r="I197" s="31"/>
      <x:c r="J197" s="37"/>
      <x:c r="K197" s="31"/>
      <x:c r="L197" s="31"/>
      <x:c r="M197" s="31"/>
      <x:c r="N197" s="31"/>
      <x:c r="O197" s="31"/>
      <x:c r="P197" s="31"/>
      <x:c r="Q197" s="31"/>
      <x:c r="R197" s="31"/>
      <x:c r="S197" s="35"/>
      <x:c r="T197" s="35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9" t="n">
        <x:f>COUNT(V197:AE197)</x:f>
        <x:v>0</x:v>
      </x:c>
      <x:c r="AG197" s="39" t="str">
        <x:f>IF(AF197&gt;=7,SUM(V197:AE197),"")</x:f>
      </x:c>
      <x:c r="AH197" s="33" t="str">
        <x:f>IF(AF197&lt;7,"À rechercher",IF(AG197&gt;=75,"P1",IF(AG197&gt;=60,"P2",IF(AG197&gt;=45,"P3","Faible priorité"))))</x:f>
        <x:v>À rechercher</x:v>
      </x:c>
      <x:c r="AI197" s="31"/>
      <x:c r="AJ197" s="31"/>
      <x:c r="AK197" s="35"/>
      <x:c r="AL197" s="31"/>
      <x:c r="AM197" s="31"/>
      <x:c r="AN197" s="31"/>
      <x:c r="AO197" s="31"/>
      <x:c r="AP197" s="31"/>
      <x:c r="AQ197" s="35"/>
      <x:c r="AR197" s="31"/>
      <x:c r="AS197" s="35"/>
      <x:c r="AT197" s="31"/>
      <x:c r="AU197" s="35"/>
      <x:c r="AV197" s="35"/>
      <x:c r="AW197" s="35"/>
      <x:c r="AX197" s="35"/>
      <x:c r="AY197" s="35"/>
      <x:c r="AZ197" s="35"/>
      <x:c r="BA197" s="35"/>
      <x:c r="BB197" s="35"/>
      <x:c r="BC197" s="35"/>
      <x:c r="BD197" s="35"/>
      <x:c r="BE197" s="31"/>
      <x:c r="BF197" s="31"/>
    </x:row>
    <x:row r="198">
      <x:c r="A198" s="31"/>
      <x:c r="B198" s="31"/>
      <x:c r="C198" s="33" t="str">
        <x:f>AH198</x:f>
        <x:v>À rechercher</x:v>
      </x:c>
      <x:c r="D198" s="31"/>
      <x:c r="E198" s="31"/>
      <x:c r="F198" s="31"/>
      <x:c r="G198" s="31"/>
      <x:c r="H198" s="31"/>
      <x:c r="I198" s="31"/>
      <x:c r="J198" s="37"/>
      <x:c r="K198" s="31"/>
      <x:c r="L198" s="31"/>
      <x:c r="M198" s="31"/>
      <x:c r="N198" s="31"/>
      <x:c r="O198" s="31"/>
      <x:c r="P198" s="31"/>
      <x:c r="Q198" s="31"/>
      <x:c r="R198" s="31"/>
      <x:c r="S198" s="35"/>
      <x:c r="T198" s="35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9" t="n">
        <x:f>COUNT(V198:AE198)</x:f>
        <x:v>0</x:v>
      </x:c>
      <x:c r="AG198" s="39" t="str">
        <x:f>IF(AF198&gt;=7,SUM(V198:AE198),"")</x:f>
      </x:c>
      <x:c r="AH198" s="33" t="str">
        <x:f>IF(AF198&lt;7,"À rechercher",IF(AG198&gt;=75,"P1",IF(AG198&gt;=60,"P2",IF(AG198&gt;=45,"P3","Faible priorité"))))</x:f>
        <x:v>À rechercher</x:v>
      </x:c>
      <x:c r="AI198" s="31"/>
      <x:c r="AJ198" s="31"/>
      <x:c r="AK198" s="35"/>
      <x:c r="AL198" s="31"/>
      <x:c r="AM198" s="31"/>
      <x:c r="AN198" s="31"/>
      <x:c r="AO198" s="31"/>
      <x:c r="AP198" s="31"/>
      <x:c r="AQ198" s="35"/>
      <x:c r="AR198" s="31"/>
      <x:c r="AS198" s="35"/>
      <x:c r="AT198" s="31"/>
      <x:c r="AU198" s="35"/>
      <x:c r="AV198" s="35"/>
      <x:c r="AW198" s="35"/>
      <x:c r="AX198" s="35"/>
      <x:c r="AY198" s="35"/>
      <x:c r="AZ198" s="35"/>
      <x:c r="BA198" s="35"/>
      <x:c r="BB198" s="35"/>
      <x:c r="BC198" s="35"/>
      <x:c r="BD198" s="35"/>
      <x:c r="BE198" s="31"/>
      <x:c r="BF198" s="31"/>
    </x:row>
    <x:row r="199">
      <x:c r="A199" s="31"/>
      <x:c r="B199" s="31"/>
      <x:c r="C199" s="33" t="str">
        <x:f>AH199</x:f>
        <x:v>À rechercher</x:v>
      </x:c>
      <x:c r="D199" s="31"/>
      <x:c r="E199" s="31"/>
      <x:c r="F199" s="31"/>
      <x:c r="G199" s="31"/>
      <x:c r="H199" s="31"/>
      <x:c r="I199" s="31"/>
      <x:c r="J199" s="37"/>
      <x:c r="K199" s="31"/>
      <x:c r="L199" s="31"/>
      <x:c r="M199" s="31"/>
      <x:c r="N199" s="31"/>
      <x:c r="O199" s="31"/>
      <x:c r="P199" s="31"/>
      <x:c r="Q199" s="31"/>
      <x:c r="R199" s="31"/>
      <x:c r="S199" s="35"/>
      <x:c r="T199" s="35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9" t="n">
        <x:f>COUNT(V199:AE199)</x:f>
        <x:v>0</x:v>
      </x:c>
      <x:c r="AG199" s="39" t="str">
        <x:f>IF(AF199&gt;=7,SUM(V199:AE199),"")</x:f>
      </x:c>
      <x:c r="AH199" s="33" t="str">
        <x:f>IF(AF199&lt;7,"À rechercher",IF(AG199&gt;=75,"P1",IF(AG199&gt;=60,"P2",IF(AG199&gt;=45,"P3","Faible priorité"))))</x:f>
        <x:v>À rechercher</x:v>
      </x:c>
      <x:c r="AI199" s="31"/>
      <x:c r="AJ199" s="31"/>
      <x:c r="AK199" s="35"/>
      <x:c r="AL199" s="31"/>
      <x:c r="AM199" s="31"/>
      <x:c r="AN199" s="31"/>
      <x:c r="AO199" s="31"/>
      <x:c r="AP199" s="31"/>
      <x:c r="AQ199" s="35"/>
      <x:c r="AR199" s="31"/>
      <x:c r="AS199" s="35"/>
      <x:c r="AT199" s="31"/>
      <x:c r="AU199" s="35"/>
      <x:c r="AV199" s="35"/>
      <x:c r="AW199" s="35"/>
      <x:c r="AX199" s="35"/>
      <x:c r="AY199" s="35"/>
      <x:c r="AZ199" s="35"/>
      <x:c r="BA199" s="35"/>
      <x:c r="BB199" s="35"/>
      <x:c r="BC199" s="35"/>
      <x:c r="BD199" s="35"/>
      <x:c r="BE199" s="31"/>
      <x:c r="BF199" s="31"/>
    </x:row>
    <x:row r="200">
      <x:c r="A200" s="31"/>
      <x:c r="B200" s="31"/>
      <x:c r="C200" s="33" t="str">
        <x:f>AH200</x:f>
        <x:v>À rechercher</x:v>
      </x:c>
      <x:c r="D200" s="31"/>
      <x:c r="E200" s="31"/>
      <x:c r="F200" s="31"/>
      <x:c r="G200" s="31"/>
      <x:c r="H200" s="31"/>
      <x:c r="I200" s="31"/>
      <x:c r="J200" s="37"/>
      <x:c r="K200" s="31"/>
      <x:c r="L200" s="31"/>
      <x:c r="M200" s="31"/>
      <x:c r="N200" s="31"/>
      <x:c r="O200" s="31"/>
      <x:c r="P200" s="31"/>
      <x:c r="Q200" s="31"/>
      <x:c r="R200" s="31"/>
      <x:c r="S200" s="35"/>
      <x:c r="T200" s="35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9" t="n">
        <x:f>COUNT(V200:AE200)</x:f>
        <x:v>0</x:v>
      </x:c>
      <x:c r="AG200" s="39" t="str">
        <x:f>IF(AF200&gt;=7,SUM(V200:AE200),"")</x:f>
      </x:c>
      <x:c r="AH200" s="33" t="str">
        <x:f>IF(AF200&lt;7,"À rechercher",IF(AG200&gt;=75,"P1",IF(AG200&gt;=60,"P2",IF(AG200&gt;=45,"P3","Faible priorité"))))</x:f>
        <x:v>À rechercher</x:v>
      </x:c>
      <x:c r="AI200" s="31"/>
      <x:c r="AJ200" s="31"/>
      <x:c r="AK200" s="35"/>
      <x:c r="AL200" s="31"/>
      <x:c r="AM200" s="31"/>
      <x:c r="AN200" s="31"/>
      <x:c r="AO200" s="31"/>
      <x:c r="AP200" s="31"/>
      <x:c r="AQ200" s="35"/>
      <x:c r="AR200" s="31"/>
      <x:c r="AS200" s="35"/>
      <x:c r="AT200" s="31"/>
      <x:c r="AU200" s="35"/>
      <x:c r="AV200" s="35"/>
      <x:c r="AW200" s="35"/>
      <x:c r="AX200" s="35"/>
      <x:c r="AY200" s="35"/>
      <x:c r="AZ200" s="35"/>
      <x:c r="BA200" s="35"/>
      <x:c r="BB200" s="35"/>
      <x:c r="BC200" s="35"/>
      <x:c r="BD200" s="35"/>
      <x:c r="BE200" s="31"/>
      <x:c r="BF200" s="31"/>
    </x:row>
    <x:row r="201">
      <x:c r="A201" s="31"/>
      <x:c r="B201" s="31"/>
      <x:c r="C201" s="33" t="str">
        <x:f>AH201</x:f>
        <x:v>À rechercher</x:v>
      </x:c>
      <x:c r="D201" s="31"/>
      <x:c r="E201" s="31"/>
      <x:c r="F201" s="31"/>
      <x:c r="G201" s="31"/>
      <x:c r="H201" s="31"/>
      <x:c r="I201" s="31"/>
      <x:c r="J201" s="37"/>
      <x:c r="K201" s="31"/>
      <x:c r="L201" s="31"/>
      <x:c r="M201" s="31"/>
      <x:c r="N201" s="31"/>
      <x:c r="O201" s="31"/>
      <x:c r="P201" s="31"/>
      <x:c r="Q201" s="31"/>
      <x:c r="R201" s="31"/>
      <x:c r="S201" s="35"/>
      <x:c r="T201" s="35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9" t="n">
        <x:f>COUNT(V201:AE201)</x:f>
        <x:v>0</x:v>
      </x:c>
      <x:c r="AG201" s="39" t="str">
        <x:f>IF(AF201&gt;=7,SUM(V201:AE201),"")</x:f>
      </x:c>
      <x:c r="AH201" s="33" t="str">
        <x:f>IF(AF201&lt;7,"À rechercher",IF(AG201&gt;=75,"P1",IF(AG201&gt;=60,"P2",IF(AG201&gt;=45,"P3","Faible priorité"))))</x:f>
        <x:v>À rechercher</x:v>
      </x:c>
      <x:c r="AI201" s="31"/>
      <x:c r="AJ201" s="31"/>
      <x:c r="AK201" s="35"/>
      <x:c r="AL201" s="31"/>
      <x:c r="AM201" s="31"/>
      <x:c r="AN201" s="31"/>
      <x:c r="AO201" s="31"/>
      <x:c r="AP201" s="31"/>
      <x:c r="AQ201" s="35"/>
      <x:c r="AR201" s="31"/>
      <x:c r="AS201" s="35"/>
      <x:c r="AT201" s="31"/>
      <x:c r="AU201" s="35"/>
      <x:c r="AV201" s="35"/>
      <x:c r="AW201" s="35"/>
      <x:c r="AX201" s="35"/>
      <x:c r="AY201" s="35"/>
      <x:c r="AZ201" s="35"/>
      <x:c r="BA201" s="35"/>
      <x:c r="BB201" s="35"/>
      <x:c r="BC201" s="35"/>
      <x:c r="BD201" s="35"/>
      <x:c r="BE201" s="31"/>
      <x:c r="BF201" s="31"/>
    </x:row>
    <x:row r="202">
      <x:c r="A202" s="31"/>
      <x:c r="B202" s="31"/>
      <x:c r="C202" s="33" t="str">
        <x:f>AH202</x:f>
        <x:v>À rechercher</x:v>
      </x:c>
      <x:c r="D202" s="31"/>
      <x:c r="E202" s="31"/>
      <x:c r="F202" s="31"/>
      <x:c r="G202" s="31"/>
      <x:c r="H202" s="31"/>
      <x:c r="I202" s="31"/>
      <x:c r="J202" s="37"/>
      <x:c r="K202" s="31"/>
      <x:c r="L202" s="31"/>
      <x:c r="M202" s="31"/>
      <x:c r="N202" s="31"/>
      <x:c r="O202" s="31"/>
      <x:c r="P202" s="31"/>
      <x:c r="Q202" s="31"/>
      <x:c r="R202" s="31"/>
      <x:c r="S202" s="35"/>
      <x:c r="T202" s="35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9" t="n">
        <x:f>COUNT(V202:AE202)</x:f>
        <x:v>0</x:v>
      </x:c>
      <x:c r="AG202" s="39" t="str">
        <x:f>IF(AF202&gt;=7,SUM(V202:AE202),"")</x:f>
      </x:c>
      <x:c r="AH202" s="33" t="str">
        <x:f>IF(AF202&lt;7,"À rechercher",IF(AG202&gt;=75,"P1",IF(AG202&gt;=60,"P2",IF(AG202&gt;=45,"P3","Faible priorité"))))</x:f>
        <x:v>À rechercher</x:v>
      </x:c>
      <x:c r="AI202" s="31"/>
      <x:c r="AJ202" s="31"/>
      <x:c r="AK202" s="35"/>
      <x:c r="AL202" s="31"/>
      <x:c r="AM202" s="31"/>
      <x:c r="AN202" s="31"/>
      <x:c r="AO202" s="31"/>
      <x:c r="AP202" s="31"/>
      <x:c r="AQ202" s="35"/>
      <x:c r="AR202" s="31"/>
      <x:c r="AS202" s="35"/>
      <x:c r="AT202" s="31"/>
      <x:c r="AU202" s="35"/>
      <x:c r="AV202" s="35"/>
      <x:c r="AW202" s="35"/>
      <x:c r="AX202" s="35"/>
      <x:c r="AY202" s="35"/>
      <x:c r="AZ202" s="35"/>
      <x:c r="BA202" s="35"/>
      <x:c r="BB202" s="35"/>
      <x:c r="BC202" s="35"/>
      <x:c r="BD202" s="35"/>
      <x:c r="BE202" s="31"/>
      <x:c r="BF202" s="31"/>
    </x:row>
    <x:row r="203">
      <x:c r="A203" s="31"/>
      <x:c r="B203" s="31"/>
      <x:c r="C203" s="33" t="str">
        <x:f>AH203</x:f>
        <x:v>À rechercher</x:v>
      </x:c>
      <x:c r="D203" s="31"/>
      <x:c r="E203" s="31"/>
      <x:c r="F203" s="31"/>
      <x:c r="G203" s="31"/>
      <x:c r="H203" s="31"/>
      <x:c r="I203" s="31"/>
      <x:c r="J203" s="37"/>
      <x:c r="K203" s="31"/>
      <x:c r="L203" s="31"/>
      <x:c r="M203" s="31"/>
      <x:c r="N203" s="31"/>
      <x:c r="O203" s="31"/>
      <x:c r="P203" s="31"/>
      <x:c r="Q203" s="31"/>
      <x:c r="R203" s="31"/>
      <x:c r="S203" s="35"/>
      <x:c r="T203" s="35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9" t="n">
        <x:f>COUNT(V203:AE203)</x:f>
        <x:v>0</x:v>
      </x:c>
      <x:c r="AG203" s="39" t="str">
        <x:f>IF(AF203&gt;=7,SUM(V203:AE203),"")</x:f>
      </x:c>
      <x:c r="AH203" s="33" t="str">
        <x:f>IF(AF203&lt;7,"À rechercher",IF(AG203&gt;=75,"P1",IF(AG203&gt;=60,"P2",IF(AG203&gt;=45,"P3","Faible priorité"))))</x:f>
        <x:v>À rechercher</x:v>
      </x:c>
      <x:c r="AI203" s="31"/>
      <x:c r="AJ203" s="31"/>
      <x:c r="AK203" s="35"/>
      <x:c r="AL203" s="31"/>
      <x:c r="AM203" s="31"/>
      <x:c r="AN203" s="31"/>
      <x:c r="AO203" s="31"/>
      <x:c r="AP203" s="31"/>
      <x:c r="AQ203" s="35"/>
      <x:c r="AR203" s="31"/>
      <x:c r="AS203" s="35"/>
      <x:c r="AT203" s="31"/>
      <x:c r="AU203" s="35"/>
      <x:c r="AV203" s="35"/>
      <x:c r="AW203" s="35"/>
      <x:c r="AX203" s="35"/>
      <x:c r="AY203" s="35"/>
      <x:c r="AZ203" s="35"/>
      <x:c r="BA203" s="35"/>
      <x:c r="BB203" s="35"/>
      <x:c r="BC203" s="35"/>
      <x:c r="BD203" s="35"/>
      <x:c r="BE203" s="31"/>
      <x:c r="BF203" s="31"/>
    </x:row>
    <x:row r="204">
      <x:c r="A204" s="31"/>
      <x:c r="B204" s="31"/>
      <x:c r="C204" s="33" t="str">
        <x:f>AH204</x:f>
        <x:v>À rechercher</x:v>
      </x:c>
      <x:c r="D204" s="31"/>
      <x:c r="E204" s="31"/>
      <x:c r="F204" s="31"/>
      <x:c r="G204" s="31"/>
      <x:c r="H204" s="31"/>
      <x:c r="I204" s="31"/>
      <x:c r="J204" s="37"/>
      <x:c r="K204" s="31"/>
      <x:c r="L204" s="31"/>
      <x:c r="M204" s="31"/>
      <x:c r="N204" s="31"/>
      <x:c r="O204" s="31"/>
      <x:c r="P204" s="31"/>
      <x:c r="Q204" s="31"/>
      <x:c r="R204" s="31"/>
      <x:c r="S204" s="35"/>
      <x:c r="T204" s="35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9" t="n">
        <x:f>COUNT(V204:AE204)</x:f>
        <x:v>0</x:v>
      </x:c>
      <x:c r="AG204" s="39" t="str">
        <x:f>IF(AF204&gt;=7,SUM(V204:AE204),"")</x:f>
      </x:c>
      <x:c r="AH204" s="33" t="str">
        <x:f>IF(AF204&lt;7,"À rechercher",IF(AG204&gt;=75,"P1",IF(AG204&gt;=60,"P2",IF(AG204&gt;=45,"P3","Faible priorité"))))</x:f>
        <x:v>À rechercher</x:v>
      </x:c>
      <x:c r="AI204" s="31"/>
      <x:c r="AJ204" s="31"/>
      <x:c r="AK204" s="35"/>
      <x:c r="AL204" s="31"/>
      <x:c r="AM204" s="31"/>
      <x:c r="AN204" s="31"/>
      <x:c r="AO204" s="31"/>
      <x:c r="AP204" s="31"/>
      <x:c r="AQ204" s="35"/>
      <x:c r="AR204" s="31"/>
      <x:c r="AS204" s="35"/>
      <x:c r="AT204" s="31"/>
      <x:c r="AU204" s="35"/>
      <x:c r="AV204" s="35"/>
      <x:c r="AW204" s="35"/>
      <x:c r="AX204" s="35"/>
      <x:c r="AY204" s="35"/>
      <x:c r="AZ204" s="35"/>
      <x:c r="BA204" s="35"/>
      <x:c r="BB204" s="35"/>
      <x:c r="BC204" s="35"/>
      <x:c r="BD204" s="35"/>
      <x:c r="BE204" s="31"/>
      <x:c r="BF204" s="31"/>
    </x:row>
    <x:row r="205">
      <x:c r="A205" s="31"/>
      <x:c r="B205" s="31"/>
      <x:c r="C205" s="33" t="str">
        <x:f>AH205</x:f>
        <x:v>À rechercher</x:v>
      </x:c>
      <x:c r="D205" s="31"/>
      <x:c r="E205" s="31"/>
      <x:c r="F205" s="31"/>
      <x:c r="G205" s="31"/>
      <x:c r="H205" s="31"/>
      <x:c r="I205" s="31"/>
      <x:c r="J205" s="37"/>
      <x:c r="K205" s="31"/>
      <x:c r="L205" s="31"/>
      <x:c r="M205" s="31"/>
      <x:c r="N205" s="31"/>
      <x:c r="O205" s="31"/>
      <x:c r="P205" s="31"/>
      <x:c r="Q205" s="31"/>
      <x:c r="R205" s="31"/>
      <x:c r="S205" s="35"/>
      <x:c r="T205" s="35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9" t="n">
        <x:f>COUNT(V205:AE205)</x:f>
        <x:v>0</x:v>
      </x:c>
      <x:c r="AG205" s="39" t="str">
        <x:f>IF(AF205&gt;=7,SUM(V205:AE205),"")</x:f>
      </x:c>
      <x:c r="AH205" s="33" t="str">
        <x:f>IF(AF205&lt;7,"À rechercher",IF(AG205&gt;=75,"P1",IF(AG205&gt;=60,"P2",IF(AG205&gt;=45,"P3","Faible priorité"))))</x:f>
        <x:v>À rechercher</x:v>
      </x:c>
      <x:c r="AI205" s="31"/>
      <x:c r="AJ205" s="31"/>
      <x:c r="AK205" s="35"/>
      <x:c r="AL205" s="31"/>
      <x:c r="AM205" s="31"/>
      <x:c r="AN205" s="31"/>
      <x:c r="AO205" s="31"/>
      <x:c r="AP205" s="31"/>
      <x:c r="AQ205" s="35"/>
      <x:c r="AR205" s="31"/>
      <x:c r="AS205" s="35"/>
      <x:c r="AT205" s="31"/>
      <x:c r="AU205" s="35"/>
      <x:c r="AV205" s="35"/>
      <x:c r="AW205" s="35"/>
      <x:c r="AX205" s="35"/>
      <x:c r="AY205" s="35"/>
      <x:c r="AZ205" s="35"/>
      <x:c r="BA205" s="35"/>
      <x:c r="BB205" s="35"/>
      <x:c r="BC205" s="35"/>
      <x:c r="BD205" s="35"/>
      <x:c r="BE205" s="31"/>
      <x:c r="BF205" s="31"/>
    </x:row>
  </x:sheetData>
  <x:mergeCells>
    <x:mergeCell ref="A1:H1"/>
    <x:mergeCell ref="A2:H2"/>
    <x:mergeCell ref="A4:H4"/>
  </x:mergeCells>
  <x:conditionalFormatting sqref="AL6:AL205">
    <x:cfRule type="containsText" dxfId="0" priority="1" operator="containsText" text="Opposition"/>
  </x:conditionalFormatting>
  <x:conditionalFormatting sqref="BE6:BE205">
    <x:cfRule type="containsText" dxfId="1" priority="2" operator="containsText" text="Oui"/>
  </x:conditionalFormatting>
  <x:conditionalFormatting sqref="C6:C205">
    <x:cfRule type="containsText" dxfId="2" priority="3" operator="containsText" text="P1"/>
  </x:conditionalFormatting>
  <x:dataValidations count="11">
    <x:dataValidation type="list" sqref="B6:B205">
      <x:formula1>'LISTES'!$A$6:$A$8</x:formula1>
    </x:dataValidation>
    <x:dataValidation type="list" sqref="K6:K205">
      <x:formula1>'LISTES'!$L$6:$L$15</x:formula1>
    </x:dataValidation>
    <x:dataValidation type="list" sqref="V6:AE205">
      <x:formula1>'LISTES'!$D$6:$D$9</x:formula1>
    </x:dataValidation>
    <x:dataValidation type="list" sqref="AJ6:AJ205">
      <x:formula1>'LISTES'!$E$6:$E$11</x:formula1>
    </x:dataValidation>
    <x:dataValidation type="list" sqref="AL6:AL205">
      <x:formula1>'LISTES'!$C$6:$C$20</x:formula1>
    </x:dataValidation>
    <x:dataValidation type="list" sqref="AO6:AO205">
      <x:formula1>'LISTES'!$H$6:$H$11</x:formula1>
    </x:dataValidation>
    <x:dataValidation type="list" sqref="BB6:BB205">
      <x:formula1>'LISTES'!$I$6:$I$8</x:formula1>
    </x:dataValidation>
    <x:dataValidation type="list" sqref="BC6:BC205">
      <x:formula1>'LISTES'!$K$6:$K$24</x:formula1>
    </x:dataValidation>
    <x:dataValidation type="list" sqref="BE6:BE205">
      <x:formula1>'LISTES'!$J$6:$J$7</x:formula1>
    </x:dataValidation>
    <x:dataValidation type="list" sqref="C6:C205">
      <x:formula1>'LISTES'!$B$6:$B$10</x:formula1>
    </x:dataValidation>
    <x:dataValidation type="list" sqref="AT6:AT205">
      <x:formula1>'LISTES'!$O$6:$O$6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ccbc1c6c6b44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3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2" customHeight="1">
      <x:c r="A1" s="3" t="str">
        <x:v>ELSATIA — Historique des 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Résumé factuel uniquement · aucune copie intégrale d’échange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5" ht="42" customHeight="1">
      <x:c r="A5" s="16" t="str">
        <x:v>ID_ACTION</x:v>
      </x:c>
      <x:c r="B5" s="24" t="str">
        <x:v>ID_PROSPECT</x:v>
      </x:c>
      <x:c r="C5" s="24" t="str">
        <x:v>LOT</x:v>
      </x:c>
      <x:c r="D5" s="24" t="str">
        <x:v>DATE_HEURE</x:v>
      </x:c>
      <x:c r="E5" s="24" t="str">
        <x:v>CANAL</x:v>
      </x:c>
      <x:c r="F5" s="24" t="str">
        <x:v>SENS</x:v>
      </x:c>
      <x:c r="G5" s="24" t="str">
        <x:v>TYPE_ACTION</x:v>
      </x:c>
      <x:c r="H5" s="24" t="str">
        <x:v>MESSAGE_VARIANTE</x:v>
      </x:c>
      <x:c r="I5" s="24" t="str">
        <x:v>RESULTAT_FACTUEL</x:v>
      </x:c>
      <x:c r="J5" s="24" t="str">
        <x:v>PROCHAINE_ACTION</x:v>
      </x:c>
      <x:c r="K5" s="24" t="str">
        <x:v>DATE_PROCHAINE_ACTION</x:v>
      </x:c>
      <x:c r="L5" s="24" t="str">
        <x:v>RESPONSABLE</x:v>
      </x:c>
      <x:c r="M5" s="17" t="str">
        <x:v>OPPOSITION_REÇUE_OUI_NON</x:v>
      </x:c>
    </x:row>
    <x:row r="6">
      <x:c r="A6" s="42"/>
      <x:c r="B6" s="42"/>
      <x:c r="C6" s="42"/>
      <x:c r="D6" s="44"/>
      <x:c r="E6" s="42"/>
      <x:c r="F6" s="42"/>
      <x:c r="G6" s="42"/>
      <x:c r="H6" s="42"/>
      <x:c r="I6" s="42"/>
      <x:c r="J6" s="42"/>
      <x:c r="K6" s="46"/>
      <x:c r="L6" s="42"/>
      <x:c r="M6" s="42"/>
    </x:row>
    <x:row r="7">
      <x:c r="A7" s="43"/>
      <x:c r="B7" s="43"/>
      <x:c r="C7" s="43"/>
      <x:c r="D7" s="45"/>
      <x:c r="E7" s="43"/>
      <x:c r="F7" s="43"/>
      <x:c r="G7" s="43"/>
      <x:c r="H7" s="43"/>
      <x:c r="I7" s="43"/>
      <x:c r="J7" s="43"/>
      <x:c r="K7" s="47"/>
      <x:c r="L7" s="43"/>
      <x:c r="M7" s="43"/>
    </x:row>
    <x:row r="8">
      <x:c r="A8" s="43"/>
      <x:c r="B8" s="43"/>
      <x:c r="C8" s="43"/>
      <x:c r="D8" s="45"/>
      <x:c r="E8" s="43"/>
      <x:c r="F8" s="43"/>
      <x:c r="G8" s="43"/>
      <x:c r="H8" s="43"/>
      <x:c r="I8" s="43"/>
      <x:c r="J8" s="43"/>
      <x:c r="K8" s="47"/>
      <x:c r="L8" s="43"/>
      <x:c r="M8" s="43"/>
    </x:row>
    <x:row r="9">
      <x:c r="A9" s="43"/>
      <x:c r="B9" s="43"/>
      <x:c r="C9" s="43"/>
      <x:c r="D9" s="45"/>
      <x:c r="E9" s="43"/>
      <x:c r="F9" s="43"/>
      <x:c r="G9" s="43"/>
      <x:c r="H9" s="43"/>
      <x:c r="I9" s="43"/>
      <x:c r="J9" s="43"/>
      <x:c r="K9" s="47"/>
      <x:c r="L9" s="43"/>
      <x:c r="M9" s="43"/>
    </x:row>
    <x:row r="10">
      <x:c r="A10" s="43"/>
      <x:c r="B10" s="43"/>
      <x:c r="C10" s="43"/>
      <x:c r="D10" s="45"/>
      <x:c r="E10" s="43"/>
      <x:c r="F10" s="43"/>
      <x:c r="G10" s="43"/>
      <x:c r="H10" s="43"/>
      <x:c r="I10" s="43"/>
      <x:c r="J10" s="43"/>
      <x:c r="K10" s="47"/>
      <x:c r="L10" s="43"/>
      <x:c r="M10" s="43"/>
    </x:row>
    <x:row r="11">
      <x:c r="A11" s="43"/>
      <x:c r="B11" s="43"/>
      <x:c r="C11" s="43"/>
      <x:c r="D11" s="45"/>
      <x:c r="E11" s="43"/>
      <x:c r="F11" s="43"/>
      <x:c r="G11" s="43"/>
      <x:c r="H11" s="43"/>
      <x:c r="I11" s="43"/>
      <x:c r="J11" s="43"/>
      <x:c r="K11" s="47"/>
      <x:c r="L11" s="43"/>
      <x:c r="M11" s="43"/>
    </x:row>
    <x:row r="12">
      <x:c r="A12" s="43"/>
      <x:c r="B12" s="43"/>
      <x:c r="C12" s="43"/>
      <x:c r="D12" s="45"/>
      <x:c r="E12" s="43"/>
      <x:c r="F12" s="43"/>
      <x:c r="G12" s="43"/>
      <x:c r="H12" s="43"/>
      <x:c r="I12" s="43"/>
      <x:c r="J12" s="43"/>
      <x:c r="K12" s="47"/>
      <x:c r="L12" s="43"/>
      <x:c r="M12" s="43"/>
    </x:row>
    <x:row r="13">
      <x:c r="A13" s="43"/>
      <x:c r="B13" s="43"/>
      <x:c r="C13" s="43"/>
      <x:c r="D13" s="45"/>
      <x:c r="E13" s="43"/>
      <x:c r="F13" s="43"/>
      <x:c r="G13" s="43"/>
      <x:c r="H13" s="43"/>
      <x:c r="I13" s="43"/>
      <x:c r="J13" s="43"/>
      <x:c r="K13" s="47"/>
      <x:c r="L13" s="43"/>
      <x:c r="M13" s="43"/>
    </x:row>
    <x:row r="14">
      <x:c r="A14" s="43"/>
      <x:c r="B14" s="43"/>
      <x:c r="C14" s="43"/>
      <x:c r="D14" s="45"/>
      <x:c r="E14" s="43"/>
      <x:c r="F14" s="43"/>
      <x:c r="G14" s="43"/>
      <x:c r="H14" s="43"/>
      <x:c r="I14" s="43"/>
      <x:c r="J14" s="43"/>
      <x:c r="K14" s="47"/>
      <x:c r="L14" s="43"/>
      <x:c r="M14" s="43"/>
    </x:row>
    <x:row r="15">
      <x:c r="A15" s="43"/>
      <x:c r="B15" s="43"/>
      <x:c r="C15" s="43"/>
      <x:c r="D15" s="45"/>
      <x:c r="E15" s="43"/>
      <x:c r="F15" s="43"/>
      <x:c r="G15" s="43"/>
      <x:c r="H15" s="43"/>
      <x:c r="I15" s="43"/>
      <x:c r="J15" s="43"/>
      <x:c r="K15" s="47"/>
      <x:c r="L15" s="43"/>
      <x:c r="M15" s="43"/>
    </x:row>
    <x:row r="16">
      <x:c r="A16" s="43"/>
      <x:c r="B16" s="43"/>
      <x:c r="C16" s="43"/>
      <x:c r="D16" s="45"/>
      <x:c r="E16" s="43"/>
      <x:c r="F16" s="43"/>
      <x:c r="G16" s="43"/>
      <x:c r="H16" s="43"/>
      <x:c r="I16" s="43"/>
      <x:c r="J16" s="43"/>
      <x:c r="K16" s="47"/>
      <x:c r="L16" s="43"/>
      <x:c r="M16" s="43"/>
    </x:row>
    <x:row r="17">
      <x:c r="A17" s="43"/>
      <x:c r="B17" s="43"/>
      <x:c r="C17" s="43"/>
      <x:c r="D17" s="45"/>
      <x:c r="E17" s="43"/>
      <x:c r="F17" s="43"/>
      <x:c r="G17" s="43"/>
      <x:c r="H17" s="43"/>
      <x:c r="I17" s="43"/>
      <x:c r="J17" s="43"/>
      <x:c r="K17" s="47"/>
      <x:c r="L17" s="43"/>
      <x:c r="M17" s="43"/>
    </x:row>
    <x:row r="18">
      <x:c r="A18" s="43"/>
      <x:c r="B18" s="43"/>
      <x:c r="C18" s="43"/>
      <x:c r="D18" s="45"/>
      <x:c r="E18" s="43"/>
      <x:c r="F18" s="43"/>
      <x:c r="G18" s="43"/>
      <x:c r="H18" s="43"/>
      <x:c r="I18" s="43"/>
      <x:c r="J18" s="43"/>
      <x:c r="K18" s="47"/>
      <x:c r="L18" s="43"/>
      <x:c r="M18" s="43"/>
    </x:row>
    <x:row r="19">
      <x:c r="A19" s="43"/>
      <x:c r="B19" s="43"/>
      <x:c r="C19" s="43"/>
      <x:c r="D19" s="45"/>
      <x:c r="E19" s="43"/>
      <x:c r="F19" s="43"/>
      <x:c r="G19" s="43"/>
      <x:c r="H19" s="43"/>
      <x:c r="I19" s="43"/>
      <x:c r="J19" s="43"/>
      <x:c r="K19" s="47"/>
      <x:c r="L19" s="43"/>
      <x:c r="M19" s="43"/>
    </x:row>
    <x:row r="20">
      <x:c r="A20" s="43"/>
      <x:c r="B20" s="43"/>
      <x:c r="C20" s="43"/>
      <x:c r="D20" s="45"/>
      <x:c r="E20" s="43"/>
      <x:c r="F20" s="43"/>
      <x:c r="G20" s="43"/>
      <x:c r="H20" s="43"/>
      <x:c r="I20" s="43"/>
      <x:c r="J20" s="43"/>
      <x:c r="K20" s="47"/>
      <x:c r="L20" s="43"/>
      <x:c r="M20" s="43"/>
    </x:row>
    <x:row r="21">
      <x:c r="A21" s="43"/>
      <x:c r="B21" s="43"/>
      <x:c r="C21" s="43"/>
      <x:c r="D21" s="45"/>
      <x:c r="E21" s="43"/>
      <x:c r="F21" s="43"/>
      <x:c r="G21" s="43"/>
      <x:c r="H21" s="43"/>
      <x:c r="I21" s="43"/>
      <x:c r="J21" s="43"/>
      <x:c r="K21" s="47"/>
      <x:c r="L21" s="43"/>
      <x:c r="M21" s="43"/>
    </x:row>
    <x:row r="22">
      <x:c r="A22" s="43"/>
      <x:c r="B22" s="43"/>
      <x:c r="C22" s="43"/>
      <x:c r="D22" s="45"/>
      <x:c r="E22" s="43"/>
      <x:c r="F22" s="43"/>
      <x:c r="G22" s="43"/>
      <x:c r="H22" s="43"/>
      <x:c r="I22" s="43"/>
      <x:c r="J22" s="43"/>
      <x:c r="K22" s="47"/>
      <x:c r="L22" s="43"/>
      <x:c r="M22" s="43"/>
    </x:row>
    <x:row r="23">
      <x:c r="A23" s="43"/>
      <x:c r="B23" s="43"/>
      <x:c r="C23" s="43"/>
      <x:c r="D23" s="45"/>
      <x:c r="E23" s="43"/>
      <x:c r="F23" s="43"/>
      <x:c r="G23" s="43"/>
      <x:c r="H23" s="43"/>
      <x:c r="I23" s="43"/>
      <x:c r="J23" s="43"/>
      <x:c r="K23" s="47"/>
      <x:c r="L23" s="43"/>
      <x:c r="M23" s="43"/>
    </x:row>
    <x:row r="24">
      <x:c r="A24" s="43"/>
      <x:c r="B24" s="43"/>
      <x:c r="C24" s="43"/>
      <x:c r="D24" s="45"/>
      <x:c r="E24" s="43"/>
      <x:c r="F24" s="43"/>
      <x:c r="G24" s="43"/>
      <x:c r="H24" s="43"/>
      <x:c r="I24" s="43"/>
      <x:c r="J24" s="43"/>
      <x:c r="K24" s="47"/>
      <x:c r="L24" s="43"/>
      <x:c r="M24" s="43"/>
    </x:row>
    <x:row r="25">
      <x:c r="A25" s="43"/>
      <x:c r="B25" s="43"/>
      <x:c r="C25" s="43"/>
      <x:c r="D25" s="45"/>
      <x:c r="E25" s="43"/>
      <x:c r="F25" s="43"/>
      <x:c r="G25" s="43"/>
      <x:c r="H25" s="43"/>
      <x:c r="I25" s="43"/>
      <x:c r="J25" s="43"/>
      <x:c r="K25" s="47"/>
      <x:c r="L25" s="43"/>
      <x:c r="M25" s="43"/>
    </x:row>
    <x:row r="26">
      <x:c r="A26" s="43"/>
      <x:c r="B26" s="43"/>
      <x:c r="C26" s="43"/>
      <x:c r="D26" s="45"/>
      <x:c r="E26" s="43"/>
      <x:c r="F26" s="43"/>
      <x:c r="G26" s="43"/>
      <x:c r="H26" s="43"/>
      <x:c r="I26" s="43"/>
      <x:c r="J26" s="43"/>
      <x:c r="K26" s="47"/>
      <x:c r="L26" s="43"/>
      <x:c r="M26" s="43"/>
    </x:row>
    <x:row r="27">
      <x:c r="A27" s="43"/>
      <x:c r="B27" s="43"/>
      <x:c r="C27" s="43"/>
      <x:c r="D27" s="45"/>
      <x:c r="E27" s="43"/>
      <x:c r="F27" s="43"/>
      <x:c r="G27" s="43"/>
      <x:c r="H27" s="43"/>
      <x:c r="I27" s="43"/>
      <x:c r="J27" s="43"/>
      <x:c r="K27" s="47"/>
      <x:c r="L27" s="43"/>
      <x:c r="M27" s="43"/>
    </x:row>
    <x:row r="28">
      <x:c r="A28" s="43"/>
      <x:c r="B28" s="43"/>
      <x:c r="C28" s="43"/>
      <x:c r="D28" s="45"/>
      <x:c r="E28" s="43"/>
      <x:c r="F28" s="43"/>
      <x:c r="G28" s="43"/>
      <x:c r="H28" s="43"/>
      <x:c r="I28" s="43"/>
      <x:c r="J28" s="43"/>
      <x:c r="K28" s="47"/>
      <x:c r="L28" s="43"/>
      <x:c r="M28" s="43"/>
    </x:row>
    <x:row r="29">
      <x:c r="A29" s="43"/>
      <x:c r="B29" s="43"/>
      <x:c r="C29" s="43"/>
      <x:c r="D29" s="45"/>
      <x:c r="E29" s="43"/>
      <x:c r="F29" s="43"/>
      <x:c r="G29" s="43"/>
      <x:c r="H29" s="43"/>
      <x:c r="I29" s="43"/>
      <x:c r="J29" s="43"/>
      <x:c r="K29" s="47"/>
      <x:c r="L29" s="43"/>
      <x:c r="M29" s="43"/>
    </x:row>
    <x:row r="30">
      <x:c r="A30" s="43"/>
      <x:c r="B30" s="43"/>
      <x:c r="C30" s="43"/>
      <x:c r="D30" s="45"/>
      <x:c r="E30" s="43"/>
      <x:c r="F30" s="43"/>
      <x:c r="G30" s="43"/>
      <x:c r="H30" s="43"/>
      <x:c r="I30" s="43"/>
      <x:c r="J30" s="43"/>
      <x:c r="K30" s="47"/>
      <x:c r="L30" s="43"/>
      <x:c r="M30" s="43"/>
    </x:row>
    <x:row r="31">
      <x:c r="A31" s="43"/>
      <x:c r="B31" s="43"/>
      <x:c r="C31" s="43"/>
      <x:c r="D31" s="45"/>
      <x:c r="E31" s="43"/>
      <x:c r="F31" s="43"/>
      <x:c r="G31" s="43"/>
      <x:c r="H31" s="43"/>
      <x:c r="I31" s="43"/>
      <x:c r="J31" s="43"/>
      <x:c r="K31" s="47"/>
      <x:c r="L31" s="43"/>
      <x:c r="M31" s="43"/>
    </x:row>
    <x:row r="32">
      <x:c r="A32" s="43"/>
      <x:c r="B32" s="43"/>
      <x:c r="C32" s="43"/>
      <x:c r="D32" s="45"/>
      <x:c r="E32" s="43"/>
      <x:c r="F32" s="43"/>
      <x:c r="G32" s="43"/>
      <x:c r="H32" s="43"/>
      <x:c r="I32" s="43"/>
      <x:c r="J32" s="43"/>
      <x:c r="K32" s="47"/>
      <x:c r="L32" s="43"/>
      <x:c r="M32" s="43"/>
    </x:row>
    <x:row r="33">
      <x:c r="A33" s="43"/>
      <x:c r="B33" s="43"/>
      <x:c r="C33" s="43"/>
      <x:c r="D33" s="45"/>
      <x:c r="E33" s="43"/>
      <x:c r="F33" s="43"/>
      <x:c r="G33" s="43"/>
      <x:c r="H33" s="43"/>
      <x:c r="I33" s="43"/>
      <x:c r="J33" s="43"/>
      <x:c r="K33" s="47"/>
      <x:c r="L33" s="43"/>
      <x:c r="M33" s="43"/>
    </x:row>
    <x:row r="34">
      <x:c r="A34" s="43"/>
      <x:c r="B34" s="43"/>
      <x:c r="C34" s="43"/>
      <x:c r="D34" s="45"/>
      <x:c r="E34" s="43"/>
      <x:c r="F34" s="43"/>
      <x:c r="G34" s="43"/>
      <x:c r="H34" s="43"/>
      <x:c r="I34" s="43"/>
      <x:c r="J34" s="43"/>
      <x:c r="K34" s="47"/>
      <x:c r="L34" s="43"/>
      <x:c r="M34" s="43"/>
    </x:row>
    <x:row r="35">
      <x:c r="A35" s="43"/>
      <x:c r="B35" s="43"/>
      <x:c r="C35" s="43"/>
      <x:c r="D35" s="45"/>
      <x:c r="E35" s="43"/>
      <x:c r="F35" s="43"/>
      <x:c r="G35" s="43"/>
      <x:c r="H35" s="43"/>
      <x:c r="I35" s="43"/>
      <x:c r="J35" s="43"/>
      <x:c r="K35" s="47"/>
      <x:c r="L35" s="43"/>
      <x:c r="M35" s="43"/>
    </x:row>
    <x:row r="36">
      <x:c r="A36" s="43"/>
      <x:c r="B36" s="43"/>
      <x:c r="C36" s="43"/>
      <x:c r="D36" s="45"/>
      <x:c r="E36" s="43"/>
      <x:c r="F36" s="43"/>
      <x:c r="G36" s="43"/>
      <x:c r="H36" s="43"/>
      <x:c r="I36" s="43"/>
      <x:c r="J36" s="43"/>
      <x:c r="K36" s="47"/>
      <x:c r="L36" s="43"/>
      <x:c r="M36" s="43"/>
    </x:row>
    <x:row r="37">
      <x:c r="A37" s="43"/>
      <x:c r="B37" s="43"/>
      <x:c r="C37" s="43"/>
      <x:c r="D37" s="45"/>
      <x:c r="E37" s="43"/>
      <x:c r="F37" s="43"/>
      <x:c r="G37" s="43"/>
      <x:c r="H37" s="43"/>
      <x:c r="I37" s="43"/>
      <x:c r="J37" s="43"/>
      <x:c r="K37" s="47"/>
      <x:c r="L37" s="43"/>
      <x:c r="M37" s="43"/>
    </x:row>
    <x:row r="38">
      <x:c r="A38" s="43"/>
      <x:c r="B38" s="43"/>
      <x:c r="C38" s="43"/>
      <x:c r="D38" s="45"/>
      <x:c r="E38" s="43"/>
      <x:c r="F38" s="43"/>
      <x:c r="G38" s="43"/>
      <x:c r="H38" s="43"/>
      <x:c r="I38" s="43"/>
      <x:c r="J38" s="43"/>
      <x:c r="K38" s="47"/>
      <x:c r="L38" s="43"/>
      <x:c r="M38" s="43"/>
    </x:row>
    <x:row r="39">
      <x:c r="A39" s="43"/>
      <x:c r="B39" s="43"/>
      <x:c r="C39" s="43"/>
      <x:c r="D39" s="45"/>
      <x:c r="E39" s="43"/>
      <x:c r="F39" s="43"/>
      <x:c r="G39" s="43"/>
      <x:c r="H39" s="43"/>
      <x:c r="I39" s="43"/>
      <x:c r="J39" s="43"/>
      <x:c r="K39" s="47"/>
      <x:c r="L39" s="43"/>
      <x:c r="M39" s="43"/>
    </x:row>
    <x:row r="40">
      <x:c r="A40" s="43"/>
      <x:c r="B40" s="43"/>
      <x:c r="C40" s="43"/>
      <x:c r="D40" s="45"/>
      <x:c r="E40" s="43"/>
      <x:c r="F40" s="43"/>
      <x:c r="G40" s="43"/>
      <x:c r="H40" s="43"/>
      <x:c r="I40" s="43"/>
      <x:c r="J40" s="43"/>
      <x:c r="K40" s="47"/>
      <x:c r="L40" s="43"/>
      <x:c r="M40" s="43"/>
    </x:row>
    <x:row r="41">
      <x:c r="A41" s="43"/>
      <x:c r="B41" s="43"/>
      <x:c r="C41" s="43"/>
      <x:c r="D41" s="45"/>
      <x:c r="E41" s="43"/>
      <x:c r="F41" s="43"/>
      <x:c r="G41" s="43"/>
      <x:c r="H41" s="43"/>
      <x:c r="I41" s="43"/>
      <x:c r="J41" s="43"/>
      <x:c r="K41" s="47"/>
      <x:c r="L41" s="43"/>
      <x:c r="M41" s="43"/>
    </x:row>
    <x:row r="42">
      <x:c r="A42" s="43"/>
      <x:c r="B42" s="43"/>
      <x:c r="C42" s="43"/>
      <x:c r="D42" s="45"/>
      <x:c r="E42" s="43"/>
      <x:c r="F42" s="43"/>
      <x:c r="G42" s="43"/>
      <x:c r="H42" s="43"/>
      <x:c r="I42" s="43"/>
      <x:c r="J42" s="43"/>
      <x:c r="K42" s="47"/>
      <x:c r="L42" s="43"/>
      <x:c r="M42" s="43"/>
    </x:row>
    <x:row r="43">
      <x:c r="A43" s="43"/>
      <x:c r="B43" s="43"/>
      <x:c r="C43" s="43"/>
      <x:c r="D43" s="45"/>
      <x:c r="E43" s="43"/>
      <x:c r="F43" s="43"/>
      <x:c r="G43" s="43"/>
      <x:c r="H43" s="43"/>
      <x:c r="I43" s="43"/>
      <x:c r="J43" s="43"/>
      <x:c r="K43" s="47"/>
      <x:c r="L43" s="43"/>
      <x:c r="M43" s="43"/>
    </x:row>
    <x:row r="44">
      <x:c r="A44" s="43"/>
      <x:c r="B44" s="43"/>
      <x:c r="C44" s="43"/>
      <x:c r="D44" s="45"/>
      <x:c r="E44" s="43"/>
      <x:c r="F44" s="43"/>
      <x:c r="G44" s="43"/>
      <x:c r="H44" s="43"/>
      <x:c r="I44" s="43"/>
      <x:c r="J44" s="43"/>
      <x:c r="K44" s="47"/>
      <x:c r="L44" s="43"/>
      <x:c r="M44" s="43"/>
    </x:row>
    <x:row r="45">
      <x:c r="A45" s="43"/>
      <x:c r="B45" s="43"/>
      <x:c r="C45" s="43"/>
      <x:c r="D45" s="45"/>
      <x:c r="E45" s="43"/>
      <x:c r="F45" s="43"/>
      <x:c r="G45" s="43"/>
      <x:c r="H45" s="43"/>
      <x:c r="I45" s="43"/>
      <x:c r="J45" s="43"/>
      <x:c r="K45" s="47"/>
      <x:c r="L45" s="43"/>
      <x:c r="M45" s="43"/>
    </x:row>
    <x:row r="46">
      <x:c r="A46" s="43"/>
      <x:c r="B46" s="43"/>
      <x:c r="C46" s="43"/>
      <x:c r="D46" s="45"/>
      <x:c r="E46" s="43"/>
      <x:c r="F46" s="43"/>
      <x:c r="G46" s="43"/>
      <x:c r="H46" s="43"/>
      <x:c r="I46" s="43"/>
      <x:c r="J46" s="43"/>
      <x:c r="K46" s="47"/>
      <x:c r="L46" s="43"/>
      <x:c r="M46" s="43"/>
    </x:row>
    <x:row r="47">
      <x:c r="A47" s="43"/>
      <x:c r="B47" s="43"/>
      <x:c r="C47" s="43"/>
      <x:c r="D47" s="45"/>
      <x:c r="E47" s="43"/>
      <x:c r="F47" s="43"/>
      <x:c r="G47" s="43"/>
      <x:c r="H47" s="43"/>
      <x:c r="I47" s="43"/>
      <x:c r="J47" s="43"/>
      <x:c r="K47" s="47"/>
      <x:c r="L47" s="43"/>
      <x:c r="M47" s="43"/>
    </x:row>
    <x:row r="48">
      <x:c r="A48" s="43"/>
      <x:c r="B48" s="43"/>
      <x:c r="C48" s="43"/>
      <x:c r="D48" s="45"/>
      <x:c r="E48" s="43"/>
      <x:c r="F48" s="43"/>
      <x:c r="G48" s="43"/>
      <x:c r="H48" s="43"/>
      <x:c r="I48" s="43"/>
      <x:c r="J48" s="43"/>
      <x:c r="K48" s="47"/>
      <x:c r="L48" s="43"/>
      <x:c r="M48" s="43"/>
    </x:row>
    <x:row r="49">
      <x:c r="A49" s="43"/>
      <x:c r="B49" s="43"/>
      <x:c r="C49" s="43"/>
      <x:c r="D49" s="45"/>
      <x:c r="E49" s="43"/>
      <x:c r="F49" s="43"/>
      <x:c r="G49" s="43"/>
      <x:c r="H49" s="43"/>
      <x:c r="I49" s="43"/>
      <x:c r="J49" s="43"/>
      <x:c r="K49" s="47"/>
      <x:c r="L49" s="43"/>
      <x:c r="M49" s="43"/>
    </x:row>
    <x:row r="50">
      <x:c r="A50" s="43"/>
      <x:c r="B50" s="43"/>
      <x:c r="C50" s="43"/>
      <x:c r="D50" s="45"/>
      <x:c r="E50" s="43"/>
      <x:c r="F50" s="43"/>
      <x:c r="G50" s="43"/>
      <x:c r="H50" s="43"/>
      <x:c r="I50" s="43"/>
      <x:c r="J50" s="43"/>
      <x:c r="K50" s="47"/>
      <x:c r="L50" s="43"/>
      <x:c r="M50" s="43"/>
    </x:row>
    <x:row r="51">
      <x:c r="A51" s="43"/>
      <x:c r="B51" s="43"/>
      <x:c r="C51" s="43"/>
      <x:c r="D51" s="45"/>
      <x:c r="E51" s="43"/>
      <x:c r="F51" s="43"/>
      <x:c r="G51" s="43"/>
      <x:c r="H51" s="43"/>
      <x:c r="I51" s="43"/>
      <x:c r="J51" s="43"/>
      <x:c r="K51" s="47"/>
      <x:c r="L51" s="43"/>
      <x:c r="M51" s="43"/>
    </x:row>
    <x:row r="52">
      <x:c r="A52" s="43"/>
      <x:c r="B52" s="43"/>
      <x:c r="C52" s="43"/>
      <x:c r="D52" s="45"/>
      <x:c r="E52" s="43"/>
      <x:c r="F52" s="43"/>
      <x:c r="G52" s="43"/>
      <x:c r="H52" s="43"/>
      <x:c r="I52" s="43"/>
      <x:c r="J52" s="43"/>
      <x:c r="K52" s="47"/>
      <x:c r="L52" s="43"/>
      <x:c r="M52" s="43"/>
    </x:row>
    <x:row r="53">
      <x:c r="A53" s="43"/>
      <x:c r="B53" s="43"/>
      <x:c r="C53" s="43"/>
      <x:c r="D53" s="45"/>
      <x:c r="E53" s="43"/>
      <x:c r="F53" s="43"/>
      <x:c r="G53" s="43"/>
      <x:c r="H53" s="43"/>
      <x:c r="I53" s="43"/>
      <x:c r="J53" s="43"/>
      <x:c r="K53" s="47"/>
      <x:c r="L53" s="43"/>
      <x:c r="M53" s="43"/>
    </x:row>
    <x:row r="54">
      <x:c r="A54" s="43"/>
      <x:c r="B54" s="43"/>
      <x:c r="C54" s="43"/>
      <x:c r="D54" s="45"/>
      <x:c r="E54" s="43"/>
      <x:c r="F54" s="43"/>
      <x:c r="G54" s="43"/>
      <x:c r="H54" s="43"/>
      <x:c r="I54" s="43"/>
      <x:c r="J54" s="43"/>
      <x:c r="K54" s="47"/>
      <x:c r="L54" s="43"/>
      <x:c r="M54" s="43"/>
    </x:row>
    <x:row r="55">
      <x:c r="A55" s="43"/>
      <x:c r="B55" s="43"/>
      <x:c r="C55" s="43"/>
      <x:c r="D55" s="45"/>
      <x:c r="E55" s="43"/>
      <x:c r="F55" s="43"/>
      <x:c r="G55" s="43"/>
      <x:c r="H55" s="43"/>
      <x:c r="I55" s="43"/>
      <x:c r="J55" s="43"/>
      <x:c r="K55" s="47"/>
      <x:c r="L55" s="43"/>
      <x:c r="M55" s="43"/>
    </x:row>
    <x:row r="56">
      <x:c r="A56" s="43"/>
      <x:c r="B56" s="43"/>
      <x:c r="C56" s="43"/>
      <x:c r="D56" s="45"/>
      <x:c r="E56" s="43"/>
      <x:c r="F56" s="43"/>
      <x:c r="G56" s="43"/>
      <x:c r="H56" s="43"/>
      <x:c r="I56" s="43"/>
      <x:c r="J56" s="43"/>
      <x:c r="K56" s="47"/>
      <x:c r="L56" s="43"/>
      <x:c r="M56" s="43"/>
    </x:row>
    <x:row r="57">
      <x:c r="A57" s="43"/>
      <x:c r="B57" s="43"/>
      <x:c r="C57" s="43"/>
      <x:c r="D57" s="45"/>
      <x:c r="E57" s="43"/>
      <x:c r="F57" s="43"/>
      <x:c r="G57" s="43"/>
      <x:c r="H57" s="43"/>
      <x:c r="I57" s="43"/>
      <x:c r="J57" s="43"/>
      <x:c r="K57" s="47"/>
      <x:c r="L57" s="43"/>
      <x:c r="M57" s="43"/>
    </x:row>
    <x:row r="58">
      <x:c r="A58" s="43"/>
      <x:c r="B58" s="43"/>
      <x:c r="C58" s="43"/>
      <x:c r="D58" s="45"/>
      <x:c r="E58" s="43"/>
      <x:c r="F58" s="43"/>
      <x:c r="G58" s="43"/>
      <x:c r="H58" s="43"/>
      <x:c r="I58" s="43"/>
      <x:c r="J58" s="43"/>
      <x:c r="K58" s="47"/>
      <x:c r="L58" s="43"/>
      <x:c r="M58" s="43"/>
    </x:row>
    <x:row r="59">
      <x:c r="A59" s="43"/>
      <x:c r="B59" s="43"/>
      <x:c r="C59" s="43"/>
      <x:c r="D59" s="45"/>
      <x:c r="E59" s="43"/>
      <x:c r="F59" s="43"/>
      <x:c r="G59" s="43"/>
      <x:c r="H59" s="43"/>
      <x:c r="I59" s="43"/>
      <x:c r="J59" s="43"/>
      <x:c r="K59" s="47"/>
      <x:c r="L59" s="43"/>
      <x:c r="M59" s="43"/>
    </x:row>
    <x:row r="60">
      <x:c r="A60" s="43"/>
      <x:c r="B60" s="43"/>
      <x:c r="C60" s="43"/>
      <x:c r="D60" s="45"/>
      <x:c r="E60" s="43"/>
      <x:c r="F60" s="43"/>
      <x:c r="G60" s="43"/>
      <x:c r="H60" s="43"/>
      <x:c r="I60" s="43"/>
      <x:c r="J60" s="43"/>
      <x:c r="K60" s="47"/>
      <x:c r="L60" s="43"/>
      <x:c r="M60" s="43"/>
    </x:row>
    <x:row r="61">
      <x:c r="A61" s="43"/>
      <x:c r="B61" s="43"/>
      <x:c r="C61" s="43"/>
      <x:c r="D61" s="45"/>
      <x:c r="E61" s="43"/>
      <x:c r="F61" s="43"/>
      <x:c r="G61" s="43"/>
      <x:c r="H61" s="43"/>
      <x:c r="I61" s="43"/>
      <x:c r="J61" s="43"/>
      <x:c r="K61" s="47"/>
      <x:c r="L61" s="43"/>
      <x:c r="M61" s="43"/>
    </x:row>
    <x:row r="62">
      <x:c r="A62" s="43"/>
      <x:c r="B62" s="43"/>
      <x:c r="C62" s="43"/>
      <x:c r="D62" s="45"/>
      <x:c r="E62" s="43"/>
      <x:c r="F62" s="43"/>
      <x:c r="G62" s="43"/>
      <x:c r="H62" s="43"/>
      <x:c r="I62" s="43"/>
      <x:c r="J62" s="43"/>
      <x:c r="K62" s="47"/>
      <x:c r="L62" s="43"/>
      <x:c r="M62" s="43"/>
    </x:row>
    <x:row r="63">
      <x:c r="A63" s="43"/>
      <x:c r="B63" s="43"/>
      <x:c r="C63" s="43"/>
      <x:c r="D63" s="45"/>
      <x:c r="E63" s="43"/>
      <x:c r="F63" s="43"/>
      <x:c r="G63" s="43"/>
      <x:c r="H63" s="43"/>
      <x:c r="I63" s="43"/>
      <x:c r="J63" s="43"/>
      <x:c r="K63" s="47"/>
      <x:c r="L63" s="43"/>
      <x:c r="M63" s="43"/>
    </x:row>
    <x:row r="64">
      <x:c r="A64" s="43"/>
      <x:c r="B64" s="43"/>
      <x:c r="C64" s="43"/>
      <x:c r="D64" s="45"/>
      <x:c r="E64" s="43"/>
      <x:c r="F64" s="43"/>
      <x:c r="G64" s="43"/>
      <x:c r="H64" s="43"/>
      <x:c r="I64" s="43"/>
      <x:c r="J64" s="43"/>
      <x:c r="K64" s="47"/>
      <x:c r="L64" s="43"/>
      <x:c r="M64" s="43"/>
    </x:row>
    <x:row r="65">
      <x:c r="A65" s="43"/>
      <x:c r="B65" s="43"/>
      <x:c r="C65" s="43"/>
      <x:c r="D65" s="45"/>
      <x:c r="E65" s="43"/>
      <x:c r="F65" s="43"/>
      <x:c r="G65" s="43"/>
      <x:c r="H65" s="43"/>
      <x:c r="I65" s="43"/>
      <x:c r="J65" s="43"/>
      <x:c r="K65" s="47"/>
      <x:c r="L65" s="43"/>
      <x:c r="M65" s="43"/>
    </x:row>
    <x:row r="66">
      <x:c r="A66" s="43"/>
      <x:c r="B66" s="43"/>
      <x:c r="C66" s="43"/>
      <x:c r="D66" s="45"/>
      <x:c r="E66" s="43"/>
      <x:c r="F66" s="43"/>
      <x:c r="G66" s="43"/>
      <x:c r="H66" s="43"/>
      <x:c r="I66" s="43"/>
      <x:c r="J66" s="43"/>
      <x:c r="K66" s="47"/>
      <x:c r="L66" s="43"/>
      <x:c r="M66" s="43"/>
    </x:row>
    <x:row r="67">
      <x:c r="A67" s="43"/>
      <x:c r="B67" s="43"/>
      <x:c r="C67" s="43"/>
      <x:c r="D67" s="45"/>
      <x:c r="E67" s="43"/>
      <x:c r="F67" s="43"/>
      <x:c r="G67" s="43"/>
      <x:c r="H67" s="43"/>
      <x:c r="I67" s="43"/>
      <x:c r="J67" s="43"/>
      <x:c r="K67" s="47"/>
      <x:c r="L67" s="43"/>
      <x:c r="M67" s="43"/>
    </x:row>
    <x:row r="68">
      <x:c r="A68" s="43"/>
      <x:c r="B68" s="43"/>
      <x:c r="C68" s="43"/>
      <x:c r="D68" s="45"/>
      <x:c r="E68" s="43"/>
      <x:c r="F68" s="43"/>
      <x:c r="G68" s="43"/>
      <x:c r="H68" s="43"/>
      <x:c r="I68" s="43"/>
      <x:c r="J68" s="43"/>
      <x:c r="K68" s="47"/>
      <x:c r="L68" s="43"/>
      <x:c r="M68" s="43"/>
    </x:row>
    <x:row r="69">
      <x:c r="A69" s="43"/>
      <x:c r="B69" s="43"/>
      <x:c r="C69" s="43"/>
      <x:c r="D69" s="45"/>
      <x:c r="E69" s="43"/>
      <x:c r="F69" s="43"/>
      <x:c r="G69" s="43"/>
      <x:c r="H69" s="43"/>
      <x:c r="I69" s="43"/>
      <x:c r="J69" s="43"/>
      <x:c r="K69" s="47"/>
      <x:c r="L69" s="43"/>
      <x:c r="M69" s="43"/>
    </x:row>
    <x:row r="70">
      <x:c r="A70" s="43"/>
      <x:c r="B70" s="43"/>
      <x:c r="C70" s="43"/>
      <x:c r="D70" s="45"/>
      <x:c r="E70" s="43"/>
      <x:c r="F70" s="43"/>
      <x:c r="G70" s="43"/>
      <x:c r="H70" s="43"/>
      <x:c r="I70" s="43"/>
      <x:c r="J70" s="43"/>
      <x:c r="K70" s="47"/>
      <x:c r="L70" s="43"/>
      <x:c r="M70" s="43"/>
    </x:row>
    <x:row r="71">
      <x:c r="A71" s="43"/>
      <x:c r="B71" s="43"/>
      <x:c r="C71" s="43"/>
      <x:c r="D71" s="45"/>
      <x:c r="E71" s="43"/>
      <x:c r="F71" s="43"/>
      <x:c r="G71" s="43"/>
      <x:c r="H71" s="43"/>
      <x:c r="I71" s="43"/>
      <x:c r="J71" s="43"/>
      <x:c r="K71" s="47"/>
      <x:c r="L71" s="43"/>
      <x:c r="M71" s="43"/>
    </x:row>
    <x:row r="72">
      <x:c r="A72" s="43"/>
      <x:c r="B72" s="43"/>
      <x:c r="C72" s="43"/>
      <x:c r="D72" s="45"/>
      <x:c r="E72" s="43"/>
      <x:c r="F72" s="43"/>
      <x:c r="G72" s="43"/>
      <x:c r="H72" s="43"/>
      <x:c r="I72" s="43"/>
      <x:c r="J72" s="43"/>
      <x:c r="K72" s="47"/>
      <x:c r="L72" s="43"/>
      <x:c r="M72" s="43"/>
    </x:row>
    <x:row r="73">
      <x:c r="A73" s="43"/>
      <x:c r="B73" s="43"/>
      <x:c r="C73" s="43"/>
      <x:c r="D73" s="45"/>
      <x:c r="E73" s="43"/>
      <x:c r="F73" s="43"/>
      <x:c r="G73" s="43"/>
      <x:c r="H73" s="43"/>
      <x:c r="I73" s="43"/>
      <x:c r="J73" s="43"/>
      <x:c r="K73" s="47"/>
      <x:c r="L73" s="43"/>
      <x:c r="M73" s="43"/>
    </x:row>
    <x:row r="74">
      <x:c r="A74" s="43"/>
      <x:c r="B74" s="43"/>
      <x:c r="C74" s="43"/>
      <x:c r="D74" s="45"/>
      <x:c r="E74" s="43"/>
      <x:c r="F74" s="43"/>
      <x:c r="G74" s="43"/>
      <x:c r="H74" s="43"/>
      <x:c r="I74" s="43"/>
      <x:c r="J74" s="43"/>
      <x:c r="K74" s="47"/>
      <x:c r="L74" s="43"/>
      <x:c r="M74" s="43"/>
    </x:row>
    <x:row r="75">
      <x:c r="A75" s="43"/>
      <x:c r="B75" s="43"/>
      <x:c r="C75" s="43"/>
      <x:c r="D75" s="45"/>
      <x:c r="E75" s="43"/>
      <x:c r="F75" s="43"/>
      <x:c r="G75" s="43"/>
      <x:c r="H75" s="43"/>
      <x:c r="I75" s="43"/>
      <x:c r="J75" s="43"/>
      <x:c r="K75" s="47"/>
      <x:c r="L75" s="43"/>
      <x:c r="M75" s="43"/>
    </x:row>
    <x:row r="76">
      <x:c r="A76" s="43"/>
      <x:c r="B76" s="43"/>
      <x:c r="C76" s="43"/>
      <x:c r="D76" s="45"/>
      <x:c r="E76" s="43"/>
      <x:c r="F76" s="43"/>
      <x:c r="G76" s="43"/>
      <x:c r="H76" s="43"/>
      <x:c r="I76" s="43"/>
      <x:c r="J76" s="43"/>
      <x:c r="K76" s="47"/>
      <x:c r="L76" s="43"/>
      <x:c r="M76" s="43"/>
    </x:row>
    <x:row r="77">
      <x:c r="A77" s="43"/>
      <x:c r="B77" s="43"/>
      <x:c r="C77" s="43"/>
      <x:c r="D77" s="45"/>
      <x:c r="E77" s="43"/>
      <x:c r="F77" s="43"/>
      <x:c r="G77" s="43"/>
      <x:c r="H77" s="43"/>
      <x:c r="I77" s="43"/>
      <x:c r="J77" s="43"/>
      <x:c r="K77" s="47"/>
      <x:c r="L77" s="43"/>
      <x:c r="M77" s="43"/>
    </x:row>
    <x:row r="78">
      <x:c r="A78" s="43"/>
      <x:c r="B78" s="43"/>
      <x:c r="C78" s="43"/>
      <x:c r="D78" s="45"/>
      <x:c r="E78" s="43"/>
      <x:c r="F78" s="43"/>
      <x:c r="G78" s="43"/>
      <x:c r="H78" s="43"/>
      <x:c r="I78" s="43"/>
      <x:c r="J78" s="43"/>
      <x:c r="K78" s="47"/>
      <x:c r="L78" s="43"/>
      <x:c r="M78" s="43"/>
    </x:row>
    <x:row r="79">
      <x:c r="A79" s="43"/>
      <x:c r="B79" s="43"/>
      <x:c r="C79" s="43"/>
      <x:c r="D79" s="45"/>
      <x:c r="E79" s="43"/>
      <x:c r="F79" s="43"/>
      <x:c r="G79" s="43"/>
      <x:c r="H79" s="43"/>
      <x:c r="I79" s="43"/>
      <x:c r="J79" s="43"/>
      <x:c r="K79" s="47"/>
      <x:c r="L79" s="43"/>
      <x:c r="M79" s="43"/>
    </x:row>
    <x:row r="80">
      <x:c r="A80" s="43"/>
      <x:c r="B80" s="43"/>
      <x:c r="C80" s="43"/>
      <x:c r="D80" s="45"/>
      <x:c r="E80" s="43"/>
      <x:c r="F80" s="43"/>
      <x:c r="G80" s="43"/>
      <x:c r="H80" s="43"/>
      <x:c r="I80" s="43"/>
      <x:c r="J80" s="43"/>
      <x:c r="K80" s="47"/>
      <x:c r="L80" s="43"/>
      <x:c r="M80" s="43"/>
    </x:row>
    <x:row r="81">
      <x:c r="A81" s="43"/>
      <x:c r="B81" s="43"/>
      <x:c r="C81" s="43"/>
      <x:c r="D81" s="45"/>
      <x:c r="E81" s="43"/>
      <x:c r="F81" s="43"/>
      <x:c r="G81" s="43"/>
      <x:c r="H81" s="43"/>
      <x:c r="I81" s="43"/>
      <x:c r="J81" s="43"/>
      <x:c r="K81" s="47"/>
      <x:c r="L81" s="43"/>
      <x:c r="M81" s="43"/>
    </x:row>
    <x:row r="82">
      <x:c r="A82" s="43"/>
      <x:c r="B82" s="43"/>
      <x:c r="C82" s="43"/>
      <x:c r="D82" s="45"/>
      <x:c r="E82" s="43"/>
      <x:c r="F82" s="43"/>
      <x:c r="G82" s="43"/>
      <x:c r="H82" s="43"/>
      <x:c r="I82" s="43"/>
      <x:c r="J82" s="43"/>
      <x:c r="K82" s="47"/>
      <x:c r="L82" s="43"/>
      <x:c r="M82" s="43"/>
    </x:row>
    <x:row r="83">
      <x:c r="A83" s="43"/>
      <x:c r="B83" s="43"/>
      <x:c r="C83" s="43"/>
      <x:c r="D83" s="45"/>
      <x:c r="E83" s="43"/>
      <x:c r="F83" s="43"/>
      <x:c r="G83" s="43"/>
      <x:c r="H83" s="43"/>
      <x:c r="I83" s="43"/>
      <x:c r="J83" s="43"/>
      <x:c r="K83" s="47"/>
      <x:c r="L83" s="43"/>
      <x:c r="M83" s="43"/>
    </x:row>
    <x:row r="84">
      <x:c r="A84" s="43"/>
      <x:c r="B84" s="43"/>
      <x:c r="C84" s="43"/>
      <x:c r="D84" s="45"/>
      <x:c r="E84" s="43"/>
      <x:c r="F84" s="43"/>
      <x:c r="G84" s="43"/>
      <x:c r="H84" s="43"/>
      <x:c r="I84" s="43"/>
      <x:c r="J84" s="43"/>
      <x:c r="K84" s="47"/>
      <x:c r="L84" s="43"/>
      <x:c r="M84" s="43"/>
    </x:row>
    <x:row r="85">
      <x:c r="A85" s="43"/>
      <x:c r="B85" s="43"/>
      <x:c r="C85" s="43"/>
      <x:c r="D85" s="45"/>
      <x:c r="E85" s="43"/>
      <x:c r="F85" s="43"/>
      <x:c r="G85" s="43"/>
      <x:c r="H85" s="43"/>
      <x:c r="I85" s="43"/>
      <x:c r="J85" s="43"/>
      <x:c r="K85" s="47"/>
      <x:c r="L85" s="43"/>
      <x:c r="M85" s="43"/>
    </x:row>
    <x:row r="86">
      <x:c r="A86" s="43"/>
      <x:c r="B86" s="43"/>
      <x:c r="C86" s="43"/>
      <x:c r="D86" s="45"/>
      <x:c r="E86" s="43"/>
      <x:c r="F86" s="43"/>
      <x:c r="G86" s="43"/>
      <x:c r="H86" s="43"/>
      <x:c r="I86" s="43"/>
      <x:c r="J86" s="43"/>
      <x:c r="K86" s="47"/>
      <x:c r="L86" s="43"/>
      <x:c r="M86" s="43"/>
    </x:row>
    <x:row r="87">
      <x:c r="A87" s="43"/>
      <x:c r="B87" s="43"/>
      <x:c r="C87" s="43"/>
      <x:c r="D87" s="45"/>
      <x:c r="E87" s="43"/>
      <x:c r="F87" s="43"/>
      <x:c r="G87" s="43"/>
      <x:c r="H87" s="43"/>
      <x:c r="I87" s="43"/>
      <x:c r="J87" s="43"/>
      <x:c r="K87" s="47"/>
      <x:c r="L87" s="43"/>
      <x:c r="M87" s="43"/>
    </x:row>
    <x:row r="88">
      <x:c r="A88" s="43"/>
      <x:c r="B88" s="43"/>
      <x:c r="C88" s="43"/>
      <x:c r="D88" s="45"/>
      <x:c r="E88" s="43"/>
      <x:c r="F88" s="43"/>
      <x:c r="G88" s="43"/>
      <x:c r="H88" s="43"/>
      <x:c r="I88" s="43"/>
      <x:c r="J88" s="43"/>
      <x:c r="K88" s="47"/>
      <x:c r="L88" s="43"/>
      <x:c r="M88" s="43"/>
    </x:row>
    <x:row r="89">
      <x:c r="A89" s="43"/>
      <x:c r="B89" s="43"/>
      <x:c r="C89" s="43"/>
      <x:c r="D89" s="45"/>
      <x:c r="E89" s="43"/>
      <x:c r="F89" s="43"/>
      <x:c r="G89" s="43"/>
      <x:c r="H89" s="43"/>
      <x:c r="I89" s="43"/>
      <x:c r="J89" s="43"/>
      <x:c r="K89" s="47"/>
      <x:c r="L89" s="43"/>
      <x:c r="M89" s="43"/>
    </x:row>
    <x:row r="90">
      <x:c r="A90" s="43"/>
      <x:c r="B90" s="43"/>
      <x:c r="C90" s="43"/>
      <x:c r="D90" s="45"/>
      <x:c r="E90" s="43"/>
      <x:c r="F90" s="43"/>
      <x:c r="G90" s="43"/>
      <x:c r="H90" s="43"/>
      <x:c r="I90" s="43"/>
      <x:c r="J90" s="43"/>
      <x:c r="K90" s="47"/>
      <x:c r="L90" s="43"/>
      <x:c r="M90" s="43"/>
    </x:row>
    <x:row r="91">
      <x:c r="A91" s="43"/>
      <x:c r="B91" s="43"/>
      <x:c r="C91" s="43"/>
      <x:c r="D91" s="45"/>
      <x:c r="E91" s="43"/>
      <x:c r="F91" s="43"/>
      <x:c r="G91" s="43"/>
      <x:c r="H91" s="43"/>
      <x:c r="I91" s="43"/>
      <x:c r="J91" s="43"/>
      <x:c r="K91" s="47"/>
      <x:c r="L91" s="43"/>
      <x:c r="M91" s="43"/>
    </x:row>
    <x:row r="92">
      <x:c r="A92" s="43"/>
      <x:c r="B92" s="43"/>
      <x:c r="C92" s="43"/>
      <x:c r="D92" s="45"/>
      <x:c r="E92" s="43"/>
      <x:c r="F92" s="43"/>
      <x:c r="G92" s="43"/>
      <x:c r="H92" s="43"/>
      <x:c r="I92" s="43"/>
      <x:c r="J92" s="43"/>
      <x:c r="K92" s="47"/>
      <x:c r="L92" s="43"/>
      <x:c r="M92" s="43"/>
    </x:row>
    <x:row r="93">
      <x:c r="A93" s="43"/>
      <x:c r="B93" s="43"/>
      <x:c r="C93" s="43"/>
      <x:c r="D93" s="45"/>
      <x:c r="E93" s="43"/>
      <x:c r="F93" s="43"/>
      <x:c r="G93" s="43"/>
      <x:c r="H93" s="43"/>
      <x:c r="I93" s="43"/>
      <x:c r="J93" s="43"/>
      <x:c r="K93" s="47"/>
      <x:c r="L93" s="43"/>
      <x:c r="M93" s="43"/>
    </x:row>
    <x:row r="94">
      <x:c r="A94" s="43"/>
      <x:c r="B94" s="43"/>
      <x:c r="C94" s="43"/>
      <x:c r="D94" s="45"/>
      <x:c r="E94" s="43"/>
      <x:c r="F94" s="43"/>
      <x:c r="G94" s="43"/>
      <x:c r="H94" s="43"/>
      <x:c r="I94" s="43"/>
      <x:c r="J94" s="43"/>
      <x:c r="K94" s="47"/>
      <x:c r="L94" s="43"/>
      <x:c r="M94" s="43"/>
    </x:row>
    <x:row r="95">
      <x:c r="A95" s="43"/>
      <x:c r="B95" s="43"/>
      <x:c r="C95" s="43"/>
      <x:c r="D95" s="45"/>
      <x:c r="E95" s="43"/>
      <x:c r="F95" s="43"/>
      <x:c r="G95" s="43"/>
      <x:c r="H95" s="43"/>
      <x:c r="I95" s="43"/>
      <x:c r="J95" s="43"/>
      <x:c r="K95" s="47"/>
      <x:c r="L95" s="43"/>
      <x:c r="M95" s="43"/>
    </x:row>
    <x:row r="96">
      <x:c r="A96" s="43"/>
      <x:c r="B96" s="43"/>
      <x:c r="C96" s="43"/>
      <x:c r="D96" s="45"/>
      <x:c r="E96" s="43"/>
      <x:c r="F96" s="43"/>
      <x:c r="G96" s="43"/>
      <x:c r="H96" s="43"/>
      <x:c r="I96" s="43"/>
      <x:c r="J96" s="43"/>
      <x:c r="K96" s="47"/>
      <x:c r="L96" s="43"/>
      <x:c r="M96" s="43"/>
    </x:row>
    <x:row r="97">
      <x:c r="A97" s="43"/>
      <x:c r="B97" s="43"/>
      <x:c r="C97" s="43"/>
      <x:c r="D97" s="45"/>
      <x:c r="E97" s="43"/>
      <x:c r="F97" s="43"/>
      <x:c r="G97" s="43"/>
      <x:c r="H97" s="43"/>
      <x:c r="I97" s="43"/>
      <x:c r="J97" s="43"/>
      <x:c r="K97" s="47"/>
      <x:c r="L97" s="43"/>
      <x:c r="M97" s="43"/>
    </x:row>
    <x:row r="98">
      <x:c r="A98" s="43"/>
      <x:c r="B98" s="43"/>
      <x:c r="C98" s="43"/>
      <x:c r="D98" s="45"/>
      <x:c r="E98" s="43"/>
      <x:c r="F98" s="43"/>
      <x:c r="G98" s="43"/>
      <x:c r="H98" s="43"/>
      <x:c r="I98" s="43"/>
      <x:c r="J98" s="43"/>
      <x:c r="K98" s="47"/>
      <x:c r="L98" s="43"/>
      <x:c r="M98" s="43"/>
    </x:row>
    <x:row r="99">
      <x:c r="A99" s="43"/>
      <x:c r="B99" s="43"/>
      <x:c r="C99" s="43"/>
      <x:c r="D99" s="45"/>
      <x:c r="E99" s="43"/>
      <x:c r="F99" s="43"/>
      <x:c r="G99" s="43"/>
      <x:c r="H99" s="43"/>
      <x:c r="I99" s="43"/>
      <x:c r="J99" s="43"/>
      <x:c r="K99" s="47"/>
      <x:c r="L99" s="43"/>
      <x:c r="M99" s="43"/>
    </x:row>
    <x:row r="100">
      <x:c r="A100" s="43"/>
      <x:c r="B100" s="43"/>
      <x:c r="C100" s="43"/>
      <x:c r="D100" s="45"/>
      <x:c r="E100" s="43"/>
      <x:c r="F100" s="43"/>
      <x:c r="G100" s="43"/>
      <x:c r="H100" s="43"/>
      <x:c r="I100" s="43"/>
      <x:c r="J100" s="43"/>
      <x:c r="K100" s="47"/>
      <x:c r="L100" s="43"/>
      <x:c r="M100" s="43"/>
    </x:row>
    <x:row r="101">
      <x:c r="A101" s="43"/>
      <x:c r="B101" s="43"/>
      <x:c r="C101" s="43"/>
      <x:c r="D101" s="45"/>
      <x:c r="E101" s="43"/>
      <x:c r="F101" s="43"/>
      <x:c r="G101" s="43"/>
      <x:c r="H101" s="43"/>
      <x:c r="I101" s="43"/>
      <x:c r="J101" s="43"/>
      <x:c r="K101" s="47"/>
      <x:c r="L101" s="43"/>
      <x:c r="M101" s="43"/>
    </x:row>
    <x:row r="102">
      <x:c r="A102" s="43"/>
      <x:c r="B102" s="43"/>
      <x:c r="C102" s="43"/>
      <x:c r="D102" s="45"/>
      <x:c r="E102" s="43"/>
      <x:c r="F102" s="43"/>
      <x:c r="G102" s="43"/>
      <x:c r="H102" s="43"/>
      <x:c r="I102" s="43"/>
      <x:c r="J102" s="43"/>
      <x:c r="K102" s="47"/>
      <x:c r="L102" s="43"/>
      <x:c r="M102" s="43"/>
    </x:row>
    <x:row r="103">
      <x:c r="A103" s="43"/>
      <x:c r="B103" s="43"/>
      <x:c r="C103" s="43"/>
      <x:c r="D103" s="45"/>
      <x:c r="E103" s="43"/>
      <x:c r="F103" s="43"/>
      <x:c r="G103" s="43"/>
      <x:c r="H103" s="43"/>
      <x:c r="I103" s="43"/>
      <x:c r="J103" s="43"/>
      <x:c r="K103" s="47"/>
      <x:c r="L103" s="43"/>
      <x:c r="M103" s="43"/>
    </x:row>
    <x:row r="104">
      <x:c r="A104" s="43"/>
      <x:c r="B104" s="43"/>
      <x:c r="C104" s="43"/>
      <x:c r="D104" s="45"/>
      <x:c r="E104" s="43"/>
      <x:c r="F104" s="43"/>
      <x:c r="G104" s="43"/>
      <x:c r="H104" s="43"/>
      <x:c r="I104" s="43"/>
      <x:c r="J104" s="43"/>
      <x:c r="K104" s="47"/>
      <x:c r="L104" s="43"/>
      <x:c r="M104" s="43"/>
    </x:row>
    <x:row r="105">
      <x:c r="A105" s="43"/>
      <x:c r="B105" s="43"/>
      <x:c r="C105" s="43"/>
      <x:c r="D105" s="45"/>
      <x:c r="E105" s="43"/>
      <x:c r="F105" s="43"/>
      <x:c r="G105" s="43"/>
      <x:c r="H105" s="43"/>
      <x:c r="I105" s="43"/>
      <x:c r="J105" s="43"/>
      <x:c r="K105" s="47"/>
      <x:c r="L105" s="43"/>
      <x:c r="M105" s="43"/>
    </x:row>
    <x:row r="106">
      <x:c r="A106" s="43"/>
      <x:c r="B106" s="43"/>
      <x:c r="C106" s="43"/>
      <x:c r="D106" s="45"/>
      <x:c r="E106" s="43"/>
      <x:c r="F106" s="43"/>
      <x:c r="G106" s="43"/>
      <x:c r="H106" s="43"/>
      <x:c r="I106" s="43"/>
      <x:c r="J106" s="43"/>
      <x:c r="K106" s="47"/>
      <x:c r="L106" s="43"/>
      <x:c r="M106" s="43"/>
    </x:row>
    <x:row r="107">
      <x:c r="A107" s="43"/>
      <x:c r="B107" s="43"/>
      <x:c r="C107" s="43"/>
      <x:c r="D107" s="45"/>
      <x:c r="E107" s="43"/>
      <x:c r="F107" s="43"/>
      <x:c r="G107" s="43"/>
      <x:c r="H107" s="43"/>
      <x:c r="I107" s="43"/>
      <x:c r="J107" s="43"/>
      <x:c r="K107" s="47"/>
      <x:c r="L107" s="43"/>
      <x:c r="M107" s="43"/>
    </x:row>
    <x:row r="108">
      <x:c r="A108" s="43"/>
      <x:c r="B108" s="43"/>
      <x:c r="C108" s="43"/>
      <x:c r="D108" s="45"/>
      <x:c r="E108" s="43"/>
      <x:c r="F108" s="43"/>
      <x:c r="G108" s="43"/>
      <x:c r="H108" s="43"/>
      <x:c r="I108" s="43"/>
      <x:c r="J108" s="43"/>
      <x:c r="K108" s="47"/>
      <x:c r="L108" s="43"/>
      <x:c r="M108" s="43"/>
    </x:row>
    <x:row r="109">
      <x:c r="A109" s="43"/>
      <x:c r="B109" s="43"/>
      <x:c r="C109" s="43"/>
      <x:c r="D109" s="45"/>
      <x:c r="E109" s="43"/>
      <x:c r="F109" s="43"/>
      <x:c r="G109" s="43"/>
      <x:c r="H109" s="43"/>
      <x:c r="I109" s="43"/>
      <x:c r="J109" s="43"/>
      <x:c r="K109" s="47"/>
      <x:c r="L109" s="43"/>
      <x:c r="M109" s="43"/>
    </x:row>
    <x:row r="110">
      <x:c r="A110" s="43"/>
      <x:c r="B110" s="43"/>
      <x:c r="C110" s="43"/>
      <x:c r="D110" s="45"/>
      <x:c r="E110" s="43"/>
      <x:c r="F110" s="43"/>
      <x:c r="G110" s="43"/>
      <x:c r="H110" s="43"/>
      <x:c r="I110" s="43"/>
      <x:c r="J110" s="43"/>
      <x:c r="K110" s="47"/>
      <x:c r="L110" s="43"/>
      <x:c r="M110" s="43"/>
    </x:row>
    <x:row r="111">
      <x:c r="A111" s="43"/>
      <x:c r="B111" s="43"/>
      <x:c r="C111" s="43"/>
      <x:c r="D111" s="45"/>
      <x:c r="E111" s="43"/>
      <x:c r="F111" s="43"/>
      <x:c r="G111" s="43"/>
      <x:c r="H111" s="43"/>
      <x:c r="I111" s="43"/>
      <x:c r="J111" s="43"/>
      <x:c r="K111" s="47"/>
      <x:c r="L111" s="43"/>
      <x:c r="M111" s="43"/>
    </x:row>
    <x:row r="112">
      <x:c r="A112" s="43"/>
      <x:c r="B112" s="43"/>
      <x:c r="C112" s="43"/>
      <x:c r="D112" s="45"/>
      <x:c r="E112" s="43"/>
      <x:c r="F112" s="43"/>
      <x:c r="G112" s="43"/>
      <x:c r="H112" s="43"/>
      <x:c r="I112" s="43"/>
      <x:c r="J112" s="43"/>
      <x:c r="K112" s="47"/>
      <x:c r="L112" s="43"/>
      <x:c r="M112" s="43"/>
    </x:row>
    <x:row r="113">
      <x:c r="A113" s="43"/>
      <x:c r="B113" s="43"/>
      <x:c r="C113" s="43"/>
      <x:c r="D113" s="45"/>
      <x:c r="E113" s="43"/>
      <x:c r="F113" s="43"/>
      <x:c r="G113" s="43"/>
      <x:c r="H113" s="43"/>
      <x:c r="I113" s="43"/>
      <x:c r="J113" s="43"/>
      <x:c r="K113" s="47"/>
      <x:c r="L113" s="43"/>
      <x:c r="M113" s="43"/>
    </x:row>
    <x:row r="114">
      <x:c r="A114" s="43"/>
      <x:c r="B114" s="43"/>
      <x:c r="C114" s="43"/>
      <x:c r="D114" s="45"/>
      <x:c r="E114" s="43"/>
      <x:c r="F114" s="43"/>
      <x:c r="G114" s="43"/>
      <x:c r="H114" s="43"/>
      <x:c r="I114" s="43"/>
      <x:c r="J114" s="43"/>
      <x:c r="K114" s="47"/>
      <x:c r="L114" s="43"/>
      <x:c r="M114" s="43"/>
    </x:row>
    <x:row r="115">
      <x:c r="A115" s="43"/>
      <x:c r="B115" s="43"/>
      <x:c r="C115" s="43"/>
      <x:c r="D115" s="45"/>
      <x:c r="E115" s="43"/>
      <x:c r="F115" s="43"/>
      <x:c r="G115" s="43"/>
      <x:c r="H115" s="43"/>
      <x:c r="I115" s="43"/>
      <x:c r="J115" s="43"/>
      <x:c r="K115" s="47"/>
      <x:c r="L115" s="43"/>
      <x:c r="M115" s="43"/>
    </x:row>
    <x:row r="116">
      <x:c r="A116" s="43"/>
      <x:c r="B116" s="43"/>
      <x:c r="C116" s="43"/>
      <x:c r="D116" s="45"/>
      <x:c r="E116" s="43"/>
      <x:c r="F116" s="43"/>
      <x:c r="G116" s="43"/>
      <x:c r="H116" s="43"/>
      <x:c r="I116" s="43"/>
      <x:c r="J116" s="43"/>
      <x:c r="K116" s="47"/>
      <x:c r="L116" s="43"/>
      <x:c r="M116" s="43"/>
    </x:row>
    <x:row r="117">
      <x:c r="A117" s="43"/>
      <x:c r="B117" s="43"/>
      <x:c r="C117" s="43"/>
      <x:c r="D117" s="45"/>
      <x:c r="E117" s="43"/>
      <x:c r="F117" s="43"/>
      <x:c r="G117" s="43"/>
      <x:c r="H117" s="43"/>
      <x:c r="I117" s="43"/>
      <x:c r="J117" s="43"/>
      <x:c r="K117" s="47"/>
      <x:c r="L117" s="43"/>
      <x:c r="M117" s="43"/>
    </x:row>
    <x:row r="118">
      <x:c r="A118" s="43"/>
      <x:c r="B118" s="43"/>
      <x:c r="C118" s="43"/>
      <x:c r="D118" s="45"/>
      <x:c r="E118" s="43"/>
      <x:c r="F118" s="43"/>
      <x:c r="G118" s="43"/>
      <x:c r="H118" s="43"/>
      <x:c r="I118" s="43"/>
      <x:c r="J118" s="43"/>
      <x:c r="K118" s="47"/>
      <x:c r="L118" s="43"/>
      <x:c r="M118" s="43"/>
    </x:row>
    <x:row r="119">
      <x:c r="A119" s="43"/>
      <x:c r="B119" s="43"/>
      <x:c r="C119" s="43"/>
      <x:c r="D119" s="45"/>
      <x:c r="E119" s="43"/>
      <x:c r="F119" s="43"/>
      <x:c r="G119" s="43"/>
      <x:c r="H119" s="43"/>
      <x:c r="I119" s="43"/>
      <x:c r="J119" s="43"/>
      <x:c r="K119" s="47"/>
      <x:c r="L119" s="43"/>
      <x:c r="M119" s="43"/>
    </x:row>
    <x:row r="120">
      <x:c r="A120" s="43"/>
      <x:c r="B120" s="43"/>
      <x:c r="C120" s="43"/>
      <x:c r="D120" s="45"/>
      <x:c r="E120" s="43"/>
      <x:c r="F120" s="43"/>
      <x:c r="G120" s="43"/>
      <x:c r="H120" s="43"/>
      <x:c r="I120" s="43"/>
      <x:c r="J120" s="43"/>
      <x:c r="K120" s="47"/>
      <x:c r="L120" s="43"/>
      <x:c r="M120" s="43"/>
    </x:row>
    <x:row r="121">
      <x:c r="A121" s="43"/>
      <x:c r="B121" s="43"/>
      <x:c r="C121" s="43"/>
      <x:c r="D121" s="45"/>
      <x:c r="E121" s="43"/>
      <x:c r="F121" s="43"/>
      <x:c r="G121" s="43"/>
      <x:c r="H121" s="43"/>
      <x:c r="I121" s="43"/>
      <x:c r="J121" s="43"/>
      <x:c r="K121" s="47"/>
      <x:c r="L121" s="43"/>
      <x:c r="M121" s="43"/>
    </x:row>
    <x:row r="122">
      <x:c r="A122" s="43"/>
      <x:c r="B122" s="43"/>
      <x:c r="C122" s="43"/>
      <x:c r="D122" s="45"/>
      <x:c r="E122" s="43"/>
      <x:c r="F122" s="43"/>
      <x:c r="G122" s="43"/>
      <x:c r="H122" s="43"/>
      <x:c r="I122" s="43"/>
      <x:c r="J122" s="43"/>
      <x:c r="K122" s="47"/>
      <x:c r="L122" s="43"/>
      <x:c r="M122" s="43"/>
    </x:row>
    <x:row r="123">
      <x:c r="A123" s="43"/>
      <x:c r="B123" s="43"/>
      <x:c r="C123" s="43"/>
      <x:c r="D123" s="45"/>
      <x:c r="E123" s="43"/>
      <x:c r="F123" s="43"/>
      <x:c r="G123" s="43"/>
      <x:c r="H123" s="43"/>
      <x:c r="I123" s="43"/>
      <x:c r="J123" s="43"/>
      <x:c r="K123" s="47"/>
      <x:c r="L123" s="43"/>
      <x:c r="M123" s="43"/>
    </x:row>
    <x:row r="124">
      <x:c r="A124" s="43"/>
      <x:c r="B124" s="43"/>
      <x:c r="C124" s="43"/>
      <x:c r="D124" s="45"/>
      <x:c r="E124" s="43"/>
      <x:c r="F124" s="43"/>
      <x:c r="G124" s="43"/>
      <x:c r="H124" s="43"/>
      <x:c r="I124" s="43"/>
      <x:c r="J124" s="43"/>
      <x:c r="K124" s="47"/>
      <x:c r="L124" s="43"/>
      <x:c r="M124" s="43"/>
    </x:row>
    <x:row r="125">
      <x:c r="A125" s="43"/>
      <x:c r="B125" s="43"/>
      <x:c r="C125" s="43"/>
      <x:c r="D125" s="45"/>
      <x:c r="E125" s="43"/>
      <x:c r="F125" s="43"/>
      <x:c r="G125" s="43"/>
      <x:c r="H125" s="43"/>
      <x:c r="I125" s="43"/>
      <x:c r="J125" s="43"/>
      <x:c r="K125" s="47"/>
      <x:c r="L125" s="43"/>
      <x:c r="M125" s="43"/>
    </x:row>
    <x:row r="126">
      <x:c r="A126" s="43"/>
      <x:c r="B126" s="43"/>
      <x:c r="C126" s="43"/>
      <x:c r="D126" s="45"/>
      <x:c r="E126" s="43"/>
      <x:c r="F126" s="43"/>
      <x:c r="G126" s="43"/>
      <x:c r="H126" s="43"/>
      <x:c r="I126" s="43"/>
      <x:c r="J126" s="43"/>
      <x:c r="K126" s="47"/>
      <x:c r="L126" s="43"/>
      <x:c r="M126" s="43"/>
    </x:row>
    <x:row r="127">
      <x:c r="A127" s="43"/>
      <x:c r="B127" s="43"/>
      <x:c r="C127" s="43"/>
      <x:c r="D127" s="45"/>
      <x:c r="E127" s="43"/>
      <x:c r="F127" s="43"/>
      <x:c r="G127" s="43"/>
      <x:c r="H127" s="43"/>
      <x:c r="I127" s="43"/>
      <x:c r="J127" s="43"/>
      <x:c r="K127" s="47"/>
      <x:c r="L127" s="43"/>
      <x:c r="M127" s="43"/>
    </x:row>
    <x:row r="128">
      <x:c r="A128" s="43"/>
      <x:c r="B128" s="43"/>
      <x:c r="C128" s="43"/>
      <x:c r="D128" s="45"/>
      <x:c r="E128" s="43"/>
      <x:c r="F128" s="43"/>
      <x:c r="G128" s="43"/>
      <x:c r="H128" s="43"/>
      <x:c r="I128" s="43"/>
      <x:c r="J128" s="43"/>
      <x:c r="K128" s="47"/>
      <x:c r="L128" s="43"/>
      <x:c r="M128" s="43"/>
    </x:row>
    <x:row r="129">
      <x:c r="A129" s="43"/>
      <x:c r="B129" s="43"/>
      <x:c r="C129" s="43"/>
      <x:c r="D129" s="45"/>
      <x:c r="E129" s="43"/>
      <x:c r="F129" s="43"/>
      <x:c r="G129" s="43"/>
      <x:c r="H129" s="43"/>
      <x:c r="I129" s="43"/>
      <x:c r="J129" s="43"/>
      <x:c r="K129" s="47"/>
      <x:c r="L129" s="43"/>
      <x:c r="M129" s="43"/>
    </x:row>
    <x:row r="130">
      <x:c r="A130" s="43"/>
      <x:c r="B130" s="43"/>
      <x:c r="C130" s="43"/>
      <x:c r="D130" s="45"/>
      <x:c r="E130" s="43"/>
      <x:c r="F130" s="43"/>
      <x:c r="G130" s="43"/>
      <x:c r="H130" s="43"/>
      <x:c r="I130" s="43"/>
      <x:c r="J130" s="43"/>
      <x:c r="K130" s="47"/>
      <x:c r="L130" s="43"/>
      <x:c r="M130" s="43"/>
    </x:row>
    <x:row r="131">
      <x:c r="A131" s="43"/>
      <x:c r="B131" s="43"/>
      <x:c r="C131" s="43"/>
      <x:c r="D131" s="45"/>
      <x:c r="E131" s="43"/>
      <x:c r="F131" s="43"/>
      <x:c r="G131" s="43"/>
      <x:c r="H131" s="43"/>
      <x:c r="I131" s="43"/>
      <x:c r="J131" s="43"/>
      <x:c r="K131" s="47"/>
      <x:c r="L131" s="43"/>
      <x:c r="M131" s="43"/>
    </x:row>
    <x:row r="132">
      <x:c r="A132" s="43"/>
      <x:c r="B132" s="43"/>
      <x:c r="C132" s="43"/>
      <x:c r="D132" s="45"/>
      <x:c r="E132" s="43"/>
      <x:c r="F132" s="43"/>
      <x:c r="G132" s="43"/>
      <x:c r="H132" s="43"/>
      <x:c r="I132" s="43"/>
      <x:c r="J132" s="43"/>
      <x:c r="K132" s="47"/>
      <x:c r="L132" s="43"/>
      <x:c r="M132" s="43"/>
    </x:row>
    <x:row r="133">
      <x:c r="A133" s="43"/>
      <x:c r="B133" s="43"/>
      <x:c r="C133" s="43"/>
      <x:c r="D133" s="45"/>
      <x:c r="E133" s="43"/>
      <x:c r="F133" s="43"/>
      <x:c r="G133" s="43"/>
      <x:c r="H133" s="43"/>
      <x:c r="I133" s="43"/>
      <x:c r="J133" s="43"/>
      <x:c r="K133" s="47"/>
      <x:c r="L133" s="43"/>
      <x:c r="M133" s="43"/>
    </x:row>
    <x:row r="134">
      <x:c r="A134" s="43"/>
      <x:c r="B134" s="43"/>
      <x:c r="C134" s="43"/>
      <x:c r="D134" s="45"/>
      <x:c r="E134" s="43"/>
      <x:c r="F134" s="43"/>
      <x:c r="G134" s="43"/>
      <x:c r="H134" s="43"/>
      <x:c r="I134" s="43"/>
      <x:c r="J134" s="43"/>
      <x:c r="K134" s="47"/>
      <x:c r="L134" s="43"/>
      <x:c r="M134" s="43"/>
    </x:row>
    <x:row r="135">
      <x:c r="A135" s="43"/>
      <x:c r="B135" s="43"/>
      <x:c r="C135" s="43"/>
      <x:c r="D135" s="45"/>
      <x:c r="E135" s="43"/>
      <x:c r="F135" s="43"/>
      <x:c r="G135" s="43"/>
      <x:c r="H135" s="43"/>
      <x:c r="I135" s="43"/>
      <x:c r="J135" s="43"/>
      <x:c r="K135" s="47"/>
      <x:c r="L135" s="43"/>
      <x:c r="M135" s="43"/>
    </x:row>
    <x:row r="136">
      <x:c r="A136" s="43"/>
      <x:c r="B136" s="43"/>
      <x:c r="C136" s="43"/>
      <x:c r="D136" s="45"/>
      <x:c r="E136" s="43"/>
      <x:c r="F136" s="43"/>
      <x:c r="G136" s="43"/>
      <x:c r="H136" s="43"/>
      <x:c r="I136" s="43"/>
      <x:c r="J136" s="43"/>
      <x:c r="K136" s="47"/>
      <x:c r="L136" s="43"/>
      <x:c r="M136" s="43"/>
    </x:row>
    <x:row r="137">
      <x:c r="A137" s="43"/>
      <x:c r="B137" s="43"/>
      <x:c r="C137" s="43"/>
      <x:c r="D137" s="45"/>
      <x:c r="E137" s="43"/>
      <x:c r="F137" s="43"/>
      <x:c r="G137" s="43"/>
      <x:c r="H137" s="43"/>
      <x:c r="I137" s="43"/>
      <x:c r="J137" s="43"/>
      <x:c r="K137" s="47"/>
      <x:c r="L137" s="43"/>
      <x:c r="M137" s="43"/>
    </x:row>
    <x:row r="138">
      <x:c r="A138" s="43"/>
      <x:c r="B138" s="43"/>
      <x:c r="C138" s="43"/>
      <x:c r="D138" s="45"/>
      <x:c r="E138" s="43"/>
      <x:c r="F138" s="43"/>
      <x:c r="G138" s="43"/>
      <x:c r="H138" s="43"/>
      <x:c r="I138" s="43"/>
      <x:c r="J138" s="43"/>
      <x:c r="K138" s="47"/>
      <x:c r="L138" s="43"/>
      <x:c r="M138" s="43"/>
    </x:row>
    <x:row r="139">
      <x:c r="A139" s="43"/>
      <x:c r="B139" s="43"/>
      <x:c r="C139" s="43"/>
      <x:c r="D139" s="45"/>
      <x:c r="E139" s="43"/>
      <x:c r="F139" s="43"/>
      <x:c r="G139" s="43"/>
      <x:c r="H139" s="43"/>
      <x:c r="I139" s="43"/>
      <x:c r="J139" s="43"/>
      <x:c r="K139" s="47"/>
      <x:c r="L139" s="43"/>
      <x:c r="M139" s="43"/>
    </x:row>
    <x:row r="140">
      <x:c r="A140" s="43"/>
      <x:c r="B140" s="43"/>
      <x:c r="C140" s="43"/>
      <x:c r="D140" s="45"/>
      <x:c r="E140" s="43"/>
      <x:c r="F140" s="43"/>
      <x:c r="G140" s="43"/>
      <x:c r="H140" s="43"/>
      <x:c r="I140" s="43"/>
      <x:c r="J140" s="43"/>
      <x:c r="K140" s="47"/>
      <x:c r="L140" s="43"/>
      <x:c r="M140" s="43"/>
    </x:row>
    <x:row r="141">
      <x:c r="A141" s="43"/>
      <x:c r="B141" s="43"/>
      <x:c r="C141" s="43"/>
      <x:c r="D141" s="45"/>
      <x:c r="E141" s="43"/>
      <x:c r="F141" s="43"/>
      <x:c r="G141" s="43"/>
      <x:c r="H141" s="43"/>
      <x:c r="I141" s="43"/>
      <x:c r="J141" s="43"/>
      <x:c r="K141" s="47"/>
      <x:c r="L141" s="43"/>
      <x:c r="M141" s="43"/>
    </x:row>
    <x:row r="142">
      <x:c r="A142" s="43"/>
      <x:c r="B142" s="43"/>
      <x:c r="C142" s="43"/>
      <x:c r="D142" s="45"/>
      <x:c r="E142" s="43"/>
      <x:c r="F142" s="43"/>
      <x:c r="G142" s="43"/>
      <x:c r="H142" s="43"/>
      <x:c r="I142" s="43"/>
      <x:c r="J142" s="43"/>
      <x:c r="K142" s="47"/>
      <x:c r="L142" s="43"/>
      <x:c r="M142" s="43"/>
    </x:row>
    <x:row r="143">
      <x:c r="A143" s="43"/>
      <x:c r="B143" s="43"/>
      <x:c r="C143" s="43"/>
      <x:c r="D143" s="45"/>
      <x:c r="E143" s="43"/>
      <x:c r="F143" s="43"/>
      <x:c r="G143" s="43"/>
      <x:c r="H143" s="43"/>
      <x:c r="I143" s="43"/>
      <x:c r="J143" s="43"/>
      <x:c r="K143" s="47"/>
      <x:c r="L143" s="43"/>
      <x:c r="M143" s="43"/>
    </x:row>
    <x:row r="144">
      <x:c r="A144" s="43"/>
      <x:c r="B144" s="43"/>
      <x:c r="C144" s="43"/>
      <x:c r="D144" s="45"/>
      <x:c r="E144" s="43"/>
      <x:c r="F144" s="43"/>
      <x:c r="G144" s="43"/>
      <x:c r="H144" s="43"/>
      <x:c r="I144" s="43"/>
      <x:c r="J144" s="43"/>
      <x:c r="K144" s="47"/>
      <x:c r="L144" s="43"/>
      <x:c r="M144" s="43"/>
    </x:row>
    <x:row r="145">
      <x:c r="A145" s="43"/>
      <x:c r="B145" s="43"/>
      <x:c r="C145" s="43"/>
      <x:c r="D145" s="45"/>
      <x:c r="E145" s="43"/>
      <x:c r="F145" s="43"/>
      <x:c r="G145" s="43"/>
      <x:c r="H145" s="43"/>
      <x:c r="I145" s="43"/>
      <x:c r="J145" s="43"/>
      <x:c r="K145" s="47"/>
      <x:c r="L145" s="43"/>
      <x:c r="M145" s="43"/>
    </x:row>
    <x:row r="146">
      <x:c r="A146" s="43"/>
      <x:c r="B146" s="43"/>
      <x:c r="C146" s="43"/>
      <x:c r="D146" s="45"/>
      <x:c r="E146" s="43"/>
      <x:c r="F146" s="43"/>
      <x:c r="G146" s="43"/>
      <x:c r="H146" s="43"/>
      <x:c r="I146" s="43"/>
      <x:c r="J146" s="43"/>
      <x:c r="K146" s="47"/>
      <x:c r="L146" s="43"/>
      <x:c r="M146" s="43"/>
    </x:row>
    <x:row r="147">
      <x:c r="A147" s="43"/>
      <x:c r="B147" s="43"/>
      <x:c r="C147" s="43"/>
      <x:c r="D147" s="45"/>
      <x:c r="E147" s="43"/>
      <x:c r="F147" s="43"/>
      <x:c r="G147" s="43"/>
      <x:c r="H147" s="43"/>
      <x:c r="I147" s="43"/>
      <x:c r="J147" s="43"/>
      <x:c r="K147" s="47"/>
      <x:c r="L147" s="43"/>
      <x:c r="M147" s="43"/>
    </x:row>
    <x:row r="148">
      <x:c r="A148" s="43"/>
      <x:c r="B148" s="43"/>
      <x:c r="C148" s="43"/>
      <x:c r="D148" s="45"/>
      <x:c r="E148" s="43"/>
      <x:c r="F148" s="43"/>
      <x:c r="G148" s="43"/>
      <x:c r="H148" s="43"/>
      <x:c r="I148" s="43"/>
      <x:c r="J148" s="43"/>
      <x:c r="K148" s="47"/>
      <x:c r="L148" s="43"/>
      <x:c r="M148" s="43"/>
    </x:row>
    <x:row r="149">
      <x:c r="A149" s="43"/>
      <x:c r="B149" s="43"/>
      <x:c r="C149" s="43"/>
      <x:c r="D149" s="45"/>
      <x:c r="E149" s="43"/>
      <x:c r="F149" s="43"/>
      <x:c r="G149" s="43"/>
      <x:c r="H149" s="43"/>
      <x:c r="I149" s="43"/>
      <x:c r="J149" s="43"/>
      <x:c r="K149" s="47"/>
      <x:c r="L149" s="43"/>
      <x:c r="M149" s="43"/>
    </x:row>
    <x:row r="150">
      <x:c r="A150" s="43"/>
      <x:c r="B150" s="43"/>
      <x:c r="C150" s="43"/>
      <x:c r="D150" s="45"/>
      <x:c r="E150" s="43"/>
      <x:c r="F150" s="43"/>
      <x:c r="G150" s="43"/>
      <x:c r="H150" s="43"/>
      <x:c r="I150" s="43"/>
      <x:c r="J150" s="43"/>
      <x:c r="K150" s="47"/>
      <x:c r="L150" s="43"/>
      <x:c r="M150" s="43"/>
    </x:row>
    <x:row r="151">
      <x:c r="A151" s="43"/>
      <x:c r="B151" s="43"/>
      <x:c r="C151" s="43"/>
      <x:c r="D151" s="45"/>
      <x:c r="E151" s="43"/>
      <x:c r="F151" s="43"/>
      <x:c r="G151" s="43"/>
      <x:c r="H151" s="43"/>
      <x:c r="I151" s="43"/>
      <x:c r="J151" s="43"/>
      <x:c r="K151" s="47"/>
      <x:c r="L151" s="43"/>
      <x:c r="M151" s="43"/>
    </x:row>
    <x:row r="152">
      <x:c r="A152" s="43"/>
      <x:c r="B152" s="43"/>
      <x:c r="C152" s="43"/>
      <x:c r="D152" s="45"/>
      <x:c r="E152" s="43"/>
      <x:c r="F152" s="43"/>
      <x:c r="G152" s="43"/>
      <x:c r="H152" s="43"/>
      <x:c r="I152" s="43"/>
      <x:c r="J152" s="43"/>
      <x:c r="K152" s="47"/>
      <x:c r="L152" s="43"/>
      <x:c r="M152" s="43"/>
    </x:row>
    <x:row r="153">
      <x:c r="A153" s="43"/>
      <x:c r="B153" s="43"/>
      <x:c r="C153" s="43"/>
      <x:c r="D153" s="45"/>
      <x:c r="E153" s="43"/>
      <x:c r="F153" s="43"/>
      <x:c r="G153" s="43"/>
      <x:c r="H153" s="43"/>
      <x:c r="I153" s="43"/>
      <x:c r="J153" s="43"/>
      <x:c r="K153" s="47"/>
      <x:c r="L153" s="43"/>
      <x:c r="M153" s="43"/>
    </x:row>
    <x:row r="154">
      <x:c r="A154" s="43"/>
      <x:c r="B154" s="43"/>
      <x:c r="C154" s="43"/>
      <x:c r="D154" s="45"/>
      <x:c r="E154" s="43"/>
      <x:c r="F154" s="43"/>
      <x:c r="G154" s="43"/>
      <x:c r="H154" s="43"/>
      <x:c r="I154" s="43"/>
      <x:c r="J154" s="43"/>
      <x:c r="K154" s="47"/>
      <x:c r="L154" s="43"/>
      <x:c r="M154" s="43"/>
    </x:row>
    <x:row r="155">
      <x:c r="A155" s="43"/>
      <x:c r="B155" s="43"/>
      <x:c r="C155" s="43"/>
      <x:c r="D155" s="45"/>
      <x:c r="E155" s="43"/>
      <x:c r="F155" s="43"/>
      <x:c r="G155" s="43"/>
      <x:c r="H155" s="43"/>
      <x:c r="I155" s="43"/>
      <x:c r="J155" s="43"/>
      <x:c r="K155" s="47"/>
      <x:c r="L155" s="43"/>
      <x:c r="M155" s="43"/>
    </x:row>
    <x:row r="156">
      <x:c r="A156" s="43"/>
      <x:c r="B156" s="43"/>
      <x:c r="C156" s="43"/>
      <x:c r="D156" s="45"/>
      <x:c r="E156" s="43"/>
      <x:c r="F156" s="43"/>
      <x:c r="G156" s="43"/>
      <x:c r="H156" s="43"/>
      <x:c r="I156" s="43"/>
      <x:c r="J156" s="43"/>
      <x:c r="K156" s="47"/>
      <x:c r="L156" s="43"/>
      <x:c r="M156" s="43"/>
    </x:row>
    <x:row r="157">
      <x:c r="A157" s="43"/>
      <x:c r="B157" s="43"/>
      <x:c r="C157" s="43"/>
      <x:c r="D157" s="45"/>
      <x:c r="E157" s="43"/>
      <x:c r="F157" s="43"/>
      <x:c r="G157" s="43"/>
      <x:c r="H157" s="43"/>
      <x:c r="I157" s="43"/>
      <x:c r="J157" s="43"/>
      <x:c r="K157" s="47"/>
      <x:c r="L157" s="43"/>
      <x:c r="M157" s="43"/>
    </x:row>
    <x:row r="158">
      <x:c r="A158" s="43"/>
      <x:c r="B158" s="43"/>
      <x:c r="C158" s="43"/>
      <x:c r="D158" s="45"/>
      <x:c r="E158" s="43"/>
      <x:c r="F158" s="43"/>
      <x:c r="G158" s="43"/>
      <x:c r="H158" s="43"/>
      <x:c r="I158" s="43"/>
      <x:c r="J158" s="43"/>
      <x:c r="K158" s="47"/>
      <x:c r="L158" s="43"/>
      <x:c r="M158" s="43"/>
    </x:row>
    <x:row r="159">
      <x:c r="A159" s="43"/>
      <x:c r="B159" s="43"/>
      <x:c r="C159" s="43"/>
      <x:c r="D159" s="45"/>
      <x:c r="E159" s="43"/>
      <x:c r="F159" s="43"/>
      <x:c r="G159" s="43"/>
      <x:c r="H159" s="43"/>
      <x:c r="I159" s="43"/>
      <x:c r="J159" s="43"/>
      <x:c r="K159" s="47"/>
      <x:c r="L159" s="43"/>
      <x:c r="M159" s="43"/>
    </x:row>
    <x:row r="160">
      <x:c r="A160" s="43"/>
      <x:c r="B160" s="43"/>
      <x:c r="C160" s="43"/>
      <x:c r="D160" s="45"/>
      <x:c r="E160" s="43"/>
      <x:c r="F160" s="43"/>
      <x:c r="G160" s="43"/>
      <x:c r="H160" s="43"/>
      <x:c r="I160" s="43"/>
      <x:c r="J160" s="43"/>
      <x:c r="K160" s="47"/>
      <x:c r="L160" s="43"/>
      <x:c r="M160" s="43"/>
    </x:row>
    <x:row r="161">
      <x:c r="A161" s="43"/>
      <x:c r="B161" s="43"/>
      <x:c r="C161" s="43"/>
      <x:c r="D161" s="45"/>
      <x:c r="E161" s="43"/>
      <x:c r="F161" s="43"/>
      <x:c r="G161" s="43"/>
      <x:c r="H161" s="43"/>
      <x:c r="I161" s="43"/>
      <x:c r="J161" s="43"/>
      <x:c r="K161" s="47"/>
      <x:c r="L161" s="43"/>
      <x:c r="M161" s="43"/>
    </x:row>
    <x:row r="162">
      <x:c r="A162" s="43"/>
      <x:c r="B162" s="43"/>
      <x:c r="C162" s="43"/>
      <x:c r="D162" s="45"/>
      <x:c r="E162" s="43"/>
      <x:c r="F162" s="43"/>
      <x:c r="G162" s="43"/>
      <x:c r="H162" s="43"/>
      <x:c r="I162" s="43"/>
      <x:c r="J162" s="43"/>
      <x:c r="K162" s="47"/>
      <x:c r="L162" s="43"/>
      <x:c r="M162" s="43"/>
    </x:row>
    <x:row r="163">
      <x:c r="A163" s="43"/>
      <x:c r="B163" s="43"/>
      <x:c r="C163" s="43"/>
      <x:c r="D163" s="45"/>
      <x:c r="E163" s="43"/>
      <x:c r="F163" s="43"/>
      <x:c r="G163" s="43"/>
      <x:c r="H163" s="43"/>
      <x:c r="I163" s="43"/>
      <x:c r="J163" s="43"/>
      <x:c r="K163" s="47"/>
      <x:c r="L163" s="43"/>
      <x:c r="M163" s="43"/>
    </x:row>
    <x:row r="164">
      <x:c r="A164" s="43"/>
      <x:c r="B164" s="43"/>
      <x:c r="C164" s="43"/>
      <x:c r="D164" s="45"/>
      <x:c r="E164" s="43"/>
      <x:c r="F164" s="43"/>
      <x:c r="G164" s="43"/>
      <x:c r="H164" s="43"/>
      <x:c r="I164" s="43"/>
      <x:c r="J164" s="43"/>
      <x:c r="K164" s="47"/>
      <x:c r="L164" s="43"/>
      <x:c r="M164" s="43"/>
    </x:row>
    <x:row r="165">
      <x:c r="A165" s="43"/>
      <x:c r="B165" s="43"/>
      <x:c r="C165" s="43"/>
      <x:c r="D165" s="45"/>
      <x:c r="E165" s="43"/>
      <x:c r="F165" s="43"/>
      <x:c r="G165" s="43"/>
      <x:c r="H165" s="43"/>
      <x:c r="I165" s="43"/>
      <x:c r="J165" s="43"/>
      <x:c r="K165" s="47"/>
      <x:c r="L165" s="43"/>
      <x:c r="M165" s="43"/>
    </x:row>
    <x:row r="166">
      <x:c r="A166" s="43"/>
      <x:c r="B166" s="43"/>
      <x:c r="C166" s="43"/>
      <x:c r="D166" s="45"/>
      <x:c r="E166" s="43"/>
      <x:c r="F166" s="43"/>
      <x:c r="G166" s="43"/>
      <x:c r="H166" s="43"/>
      <x:c r="I166" s="43"/>
      <x:c r="J166" s="43"/>
      <x:c r="K166" s="47"/>
      <x:c r="L166" s="43"/>
      <x:c r="M166" s="43"/>
    </x:row>
    <x:row r="167">
      <x:c r="A167" s="43"/>
      <x:c r="B167" s="43"/>
      <x:c r="C167" s="43"/>
      <x:c r="D167" s="45"/>
      <x:c r="E167" s="43"/>
      <x:c r="F167" s="43"/>
      <x:c r="G167" s="43"/>
      <x:c r="H167" s="43"/>
      <x:c r="I167" s="43"/>
      <x:c r="J167" s="43"/>
      <x:c r="K167" s="47"/>
      <x:c r="L167" s="43"/>
      <x:c r="M167" s="43"/>
    </x:row>
    <x:row r="168">
      <x:c r="A168" s="43"/>
      <x:c r="B168" s="43"/>
      <x:c r="C168" s="43"/>
      <x:c r="D168" s="45"/>
      <x:c r="E168" s="43"/>
      <x:c r="F168" s="43"/>
      <x:c r="G168" s="43"/>
      <x:c r="H168" s="43"/>
      <x:c r="I168" s="43"/>
      <x:c r="J168" s="43"/>
      <x:c r="K168" s="47"/>
      <x:c r="L168" s="43"/>
      <x:c r="M168" s="43"/>
    </x:row>
    <x:row r="169">
      <x:c r="A169" s="43"/>
      <x:c r="B169" s="43"/>
      <x:c r="C169" s="43"/>
      <x:c r="D169" s="45"/>
      <x:c r="E169" s="43"/>
      <x:c r="F169" s="43"/>
      <x:c r="G169" s="43"/>
      <x:c r="H169" s="43"/>
      <x:c r="I169" s="43"/>
      <x:c r="J169" s="43"/>
      <x:c r="K169" s="47"/>
      <x:c r="L169" s="43"/>
      <x:c r="M169" s="43"/>
    </x:row>
    <x:row r="170">
      <x:c r="A170" s="43"/>
      <x:c r="B170" s="43"/>
      <x:c r="C170" s="43"/>
      <x:c r="D170" s="45"/>
      <x:c r="E170" s="43"/>
      <x:c r="F170" s="43"/>
      <x:c r="G170" s="43"/>
      <x:c r="H170" s="43"/>
      <x:c r="I170" s="43"/>
      <x:c r="J170" s="43"/>
      <x:c r="K170" s="47"/>
      <x:c r="L170" s="43"/>
      <x:c r="M170" s="43"/>
    </x:row>
    <x:row r="171">
      <x:c r="A171" s="43"/>
      <x:c r="B171" s="43"/>
      <x:c r="C171" s="43"/>
      <x:c r="D171" s="45"/>
      <x:c r="E171" s="43"/>
      <x:c r="F171" s="43"/>
      <x:c r="G171" s="43"/>
      <x:c r="H171" s="43"/>
      <x:c r="I171" s="43"/>
      <x:c r="J171" s="43"/>
      <x:c r="K171" s="47"/>
      <x:c r="L171" s="43"/>
      <x:c r="M171" s="43"/>
    </x:row>
    <x:row r="172">
      <x:c r="A172" s="43"/>
      <x:c r="B172" s="43"/>
      <x:c r="C172" s="43"/>
      <x:c r="D172" s="45"/>
      <x:c r="E172" s="43"/>
      <x:c r="F172" s="43"/>
      <x:c r="G172" s="43"/>
      <x:c r="H172" s="43"/>
      <x:c r="I172" s="43"/>
      <x:c r="J172" s="43"/>
      <x:c r="K172" s="47"/>
      <x:c r="L172" s="43"/>
      <x:c r="M172" s="43"/>
    </x:row>
    <x:row r="173">
      <x:c r="A173" s="43"/>
      <x:c r="B173" s="43"/>
      <x:c r="C173" s="43"/>
      <x:c r="D173" s="45"/>
      <x:c r="E173" s="43"/>
      <x:c r="F173" s="43"/>
      <x:c r="G173" s="43"/>
      <x:c r="H173" s="43"/>
      <x:c r="I173" s="43"/>
      <x:c r="J173" s="43"/>
      <x:c r="K173" s="47"/>
      <x:c r="L173" s="43"/>
      <x:c r="M173" s="43"/>
    </x:row>
    <x:row r="174">
      <x:c r="A174" s="43"/>
      <x:c r="B174" s="43"/>
      <x:c r="C174" s="43"/>
      <x:c r="D174" s="45"/>
      <x:c r="E174" s="43"/>
      <x:c r="F174" s="43"/>
      <x:c r="G174" s="43"/>
      <x:c r="H174" s="43"/>
      <x:c r="I174" s="43"/>
      <x:c r="J174" s="43"/>
      <x:c r="K174" s="47"/>
      <x:c r="L174" s="43"/>
      <x:c r="M174" s="43"/>
    </x:row>
    <x:row r="175">
      <x:c r="A175" s="43"/>
      <x:c r="B175" s="43"/>
      <x:c r="C175" s="43"/>
      <x:c r="D175" s="45"/>
      <x:c r="E175" s="43"/>
      <x:c r="F175" s="43"/>
      <x:c r="G175" s="43"/>
      <x:c r="H175" s="43"/>
      <x:c r="I175" s="43"/>
      <x:c r="J175" s="43"/>
      <x:c r="K175" s="47"/>
      <x:c r="L175" s="43"/>
      <x:c r="M175" s="43"/>
    </x:row>
    <x:row r="176">
      <x:c r="A176" s="43"/>
      <x:c r="B176" s="43"/>
      <x:c r="C176" s="43"/>
      <x:c r="D176" s="45"/>
      <x:c r="E176" s="43"/>
      <x:c r="F176" s="43"/>
      <x:c r="G176" s="43"/>
      <x:c r="H176" s="43"/>
      <x:c r="I176" s="43"/>
      <x:c r="J176" s="43"/>
      <x:c r="K176" s="47"/>
      <x:c r="L176" s="43"/>
      <x:c r="M176" s="43"/>
    </x:row>
    <x:row r="177">
      <x:c r="A177" s="43"/>
      <x:c r="B177" s="43"/>
      <x:c r="C177" s="43"/>
      <x:c r="D177" s="45"/>
      <x:c r="E177" s="43"/>
      <x:c r="F177" s="43"/>
      <x:c r="G177" s="43"/>
      <x:c r="H177" s="43"/>
      <x:c r="I177" s="43"/>
      <x:c r="J177" s="43"/>
      <x:c r="K177" s="47"/>
      <x:c r="L177" s="43"/>
      <x:c r="M177" s="43"/>
    </x:row>
    <x:row r="178">
      <x:c r="A178" s="43"/>
      <x:c r="B178" s="43"/>
      <x:c r="C178" s="43"/>
      <x:c r="D178" s="45"/>
      <x:c r="E178" s="43"/>
      <x:c r="F178" s="43"/>
      <x:c r="G178" s="43"/>
      <x:c r="H178" s="43"/>
      <x:c r="I178" s="43"/>
      <x:c r="J178" s="43"/>
      <x:c r="K178" s="47"/>
      <x:c r="L178" s="43"/>
      <x:c r="M178" s="43"/>
    </x:row>
    <x:row r="179">
      <x:c r="A179" s="43"/>
      <x:c r="B179" s="43"/>
      <x:c r="C179" s="43"/>
      <x:c r="D179" s="45"/>
      <x:c r="E179" s="43"/>
      <x:c r="F179" s="43"/>
      <x:c r="G179" s="43"/>
      <x:c r="H179" s="43"/>
      <x:c r="I179" s="43"/>
      <x:c r="J179" s="43"/>
      <x:c r="K179" s="47"/>
      <x:c r="L179" s="43"/>
      <x:c r="M179" s="43"/>
    </x:row>
    <x:row r="180">
      <x:c r="A180" s="43"/>
      <x:c r="B180" s="43"/>
      <x:c r="C180" s="43"/>
      <x:c r="D180" s="45"/>
      <x:c r="E180" s="43"/>
      <x:c r="F180" s="43"/>
      <x:c r="G180" s="43"/>
      <x:c r="H180" s="43"/>
      <x:c r="I180" s="43"/>
      <x:c r="J180" s="43"/>
      <x:c r="K180" s="47"/>
      <x:c r="L180" s="43"/>
      <x:c r="M180" s="43"/>
    </x:row>
    <x:row r="181">
      <x:c r="A181" s="43"/>
      <x:c r="B181" s="43"/>
      <x:c r="C181" s="43"/>
      <x:c r="D181" s="45"/>
      <x:c r="E181" s="43"/>
      <x:c r="F181" s="43"/>
      <x:c r="G181" s="43"/>
      <x:c r="H181" s="43"/>
      <x:c r="I181" s="43"/>
      <x:c r="J181" s="43"/>
      <x:c r="K181" s="47"/>
      <x:c r="L181" s="43"/>
      <x:c r="M181" s="43"/>
    </x:row>
    <x:row r="182">
      <x:c r="A182" s="43"/>
      <x:c r="B182" s="43"/>
      <x:c r="C182" s="43"/>
      <x:c r="D182" s="45"/>
      <x:c r="E182" s="43"/>
      <x:c r="F182" s="43"/>
      <x:c r="G182" s="43"/>
      <x:c r="H182" s="43"/>
      <x:c r="I182" s="43"/>
      <x:c r="J182" s="43"/>
      <x:c r="K182" s="47"/>
      <x:c r="L182" s="43"/>
      <x:c r="M182" s="43"/>
    </x:row>
    <x:row r="183">
      <x:c r="A183" s="43"/>
      <x:c r="B183" s="43"/>
      <x:c r="C183" s="43"/>
      <x:c r="D183" s="45"/>
      <x:c r="E183" s="43"/>
      <x:c r="F183" s="43"/>
      <x:c r="G183" s="43"/>
      <x:c r="H183" s="43"/>
      <x:c r="I183" s="43"/>
      <x:c r="J183" s="43"/>
      <x:c r="K183" s="47"/>
      <x:c r="L183" s="43"/>
      <x:c r="M183" s="43"/>
    </x:row>
    <x:row r="184">
      <x:c r="A184" s="43"/>
      <x:c r="B184" s="43"/>
      <x:c r="C184" s="43"/>
      <x:c r="D184" s="45"/>
      <x:c r="E184" s="43"/>
      <x:c r="F184" s="43"/>
      <x:c r="G184" s="43"/>
      <x:c r="H184" s="43"/>
      <x:c r="I184" s="43"/>
      <x:c r="J184" s="43"/>
      <x:c r="K184" s="47"/>
      <x:c r="L184" s="43"/>
      <x:c r="M184" s="43"/>
    </x:row>
    <x:row r="185">
      <x:c r="A185" s="43"/>
      <x:c r="B185" s="43"/>
      <x:c r="C185" s="43"/>
      <x:c r="D185" s="45"/>
      <x:c r="E185" s="43"/>
      <x:c r="F185" s="43"/>
      <x:c r="G185" s="43"/>
      <x:c r="H185" s="43"/>
      <x:c r="I185" s="43"/>
      <x:c r="J185" s="43"/>
      <x:c r="K185" s="47"/>
      <x:c r="L185" s="43"/>
      <x:c r="M185" s="43"/>
    </x:row>
    <x:row r="186">
      <x:c r="A186" s="43"/>
      <x:c r="B186" s="43"/>
      <x:c r="C186" s="43"/>
      <x:c r="D186" s="45"/>
      <x:c r="E186" s="43"/>
      <x:c r="F186" s="43"/>
      <x:c r="G186" s="43"/>
      <x:c r="H186" s="43"/>
      <x:c r="I186" s="43"/>
      <x:c r="J186" s="43"/>
      <x:c r="K186" s="47"/>
      <x:c r="L186" s="43"/>
      <x:c r="M186" s="43"/>
    </x:row>
    <x:row r="187">
      <x:c r="A187" s="43"/>
      <x:c r="B187" s="43"/>
      <x:c r="C187" s="43"/>
      <x:c r="D187" s="45"/>
      <x:c r="E187" s="43"/>
      <x:c r="F187" s="43"/>
      <x:c r="G187" s="43"/>
      <x:c r="H187" s="43"/>
      <x:c r="I187" s="43"/>
      <x:c r="J187" s="43"/>
      <x:c r="K187" s="47"/>
      <x:c r="L187" s="43"/>
      <x:c r="M187" s="43"/>
    </x:row>
    <x:row r="188">
      <x:c r="A188" s="43"/>
      <x:c r="B188" s="43"/>
      <x:c r="C188" s="43"/>
      <x:c r="D188" s="45"/>
      <x:c r="E188" s="43"/>
      <x:c r="F188" s="43"/>
      <x:c r="G188" s="43"/>
      <x:c r="H188" s="43"/>
      <x:c r="I188" s="43"/>
      <x:c r="J188" s="43"/>
      <x:c r="K188" s="47"/>
      <x:c r="L188" s="43"/>
      <x:c r="M188" s="43"/>
    </x:row>
    <x:row r="189">
      <x:c r="A189" s="43"/>
      <x:c r="B189" s="43"/>
      <x:c r="C189" s="43"/>
      <x:c r="D189" s="45"/>
      <x:c r="E189" s="43"/>
      <x:c r="F189" s="43"/>
      <x:c r="G189" s="43"/>
      <x:c r="H189" s="43"/>
      <x:c r="I189" s="43"/>
      <x:c r="J189" s="43"/>
      <x:c r="K189" s="47"/>
      <x:c r="L189" s="43"/>
      <x:c r="M189" s="43"/>
    </x:row>
    <x:row r="190">
      <x:c r="A190" s="43"/>
      <x:c r="B190" s="43"/>
      <x:c r="C190" s="43"/>
      <x:c r="D190" s="45"/>
      <x:c r="E190" s="43"/>
      <x:c r="F190" s="43"/>
      <x:c r="G190" s="43"/>
      <x:c r="H190" s="43"/>
      <x:c r="I190" s="43"/>
      <x:c r="J190" s="43"/>
      <x:c r="K190" s="47"/>
      <x:c r="L190" s="43"/>
      <x:c r="M190" s="43"/>
    </x:row>
    <x:row r="191">
      <x:c r="A191" s="43"/>
      <x:c r="B191" s="43"/>
      <x:c r="C191" s="43"/>
      <x:c r="D191" s="45"/>
      <x:c r="E191" s="43"/>
      <x:c r="F191" s="43"/>
      <x:c r="G191" s="43"/>
      <x:c r="H191" s="43"/>
      <x:c r="I191" s="43"/>
      <x:c r="J191" s="43"/>
      <x:c r="K191" s="47"/>
      <x:c r="L191" s="43"/>
      <x:c r="M191" s="43"/>
    </x:row>
    <x:row r="192">
      <x:c r="A192" s="43"/>
      <x:c r="B192" s="43"/>
      <x:c r="C192" s="43"/>
      <x:c r="D192" s="45"/>
      <x:c r="E192" s="43"/>
      <x:c r="F192" s="43"/>
      <x:c r="G192" s="43"/>
      <x:c r="H192" s="43"/>
      <x:c r="I192" s="43"/>
      <x:c r="J192" s="43"/>
      <x:c r="K192" s="47"/>
      <x:c r="L192" s="43"/>
      <x:c r="M192" s="43"/>
    </x:row>
    <x:row r="193">
      <x:c r="A193" s="43"/>
      <x:c r="B193" s="43"/>
      <x:c r="C193" s="43"/>
      <x:c r="D193" s="45"/>
      <x:c r="E193" s="43"/>
      <x:c r="F193" s="43"/>
      <x:c r="G193" s="43"/>
      <x:c r="H193" s="43"/>
      <x:c r="I193" s="43"/>
      <x:c r="J193" s="43"/>
      <x:c r="K193" s="47"/>
      <x:c r="L193" s="43"/>
      <x:c r="M193" s="43"/>
    </x:row>
    <x:row r="194">
      <x:c r="A194" s="43"/>
      <x:c r="B194" s="43"/>
      <x:c r="C194" s="43"/>
      <x:c r="D194" s="45"/>
      <x:c r="E194" s="43"/>
      <x:c r="F194" s="43"/>
      <x:c r="G194" s="43"/>
      <x:c r="H194" s="43"/>
      <x:c r="I194" s="43"/>
      <x:c r="J194" s="43"/>
      <x:c r="K194" s="47"/>
      <x:c r="L194" s="43"/>
      <x:c r="M194" s="43"/>
    </x:row>
    <x:row r="195">
      <x:c r="A195" s="43"/>
      <x:c r="B195" s="43"/>
      <x:c r="C195" s="43"/>
      <x:c r="D195" s="45"/>
      <x:c r="E195" s="43"/>
      <x:c r="F195" s="43"/>
      <x:c r="G195" s="43"/>
      <x:c r="H195" s="43"/>
      <x:c r="I195" s="43"/>
      <x:c r="J195" s="43"/>
      <x:c r="K195" s="47"/>
      <x:c r="L195" s="43"/>
      <x:c r="M195" s="43"/>
    </x:row>
    <x:row r="196">
      <x:c r="A196" s="43"/>
      <x:c r="B196" s="43"/>
      <x:c r="C196" s="43"/>
      <x:c r="D196" s="45"/>
      <x:c r="E196" s="43"/>
      <x:c r="F196" s="43"/>
      <x:c r="G196" s="43"/>
      <x:c r="H196" s="43"/>
      <x:c r="I196" s="43"/>
      <x:c r="J196" s="43"/>
      <x:c r="K196" s="47"/>
      <x:c r="L196" s="43"/>
      <x:c r="M196" s="43"/>
    </x:row>
    <x:row r="197">
      <x:c r="A197" s="43"/>
      <x:c r="B197" s="43"/>
      <x:c r="C197" s="43"/>
      <x:c r="D197" s="45"/>
      <x:c r="E197" s="43"/>
      <x:c r="F197" s="43"/>
      <x:c r="G197" s="43"/>
      <x:c r="H197" s="43"/>
      <x:c r="I197" s="43"/>
      <x:c r="J197" s="43"/>
      <x:c r="K197" s="47"/>
      <x:c r="L197" s="43"/>
      <x:c r="M197" s="43"/>
    </x:row>
    <x:row r="198">
      <x:c r="A198" s="43"/>
      <x:c r="B198" s="43"/>
      <x:c r="C198" s="43"/>
      <x:c r="D198" s="45"/>
      <x:c r="E198" s="43"/>
      <x:c r="F198" s="43"/>
      <x:c r="G198" s="43"/>
      <x:c r="H198" s="43"/>
      <x:c r="I198" s="43"/>
      <x:c r="J198" s="43"/>
      <x:c r="K198" s="47"/>
      <x:c r="L198" s="43"/>
      <x:c r="M198" s="43"/>
    </x:row>
    <x:row r="199">
      <x:c r="A199" s="43"/>
      <x:c r="B199" s="43"/>
      <x:c r="C199" s="43"/>
      <x:c r="D199" s="45"/>
      <x:c r="E199" s="43"/>
      <x:c r="F199" s="43"/>
      <x:c r="G199" s="43"/>
      <x:c r="H199" s="43"/>
      <x:c r="I199" s="43"/>
      <x:c r="J199" s="43"/>
      <x:c r="K199" s="47"/>
      <x:c r="L199" s="43"/>
      <x:c r="M199" s="43"/>
    </x:row>
    <x:row r="200">
      <x:c r="A200" s="43"/>
      <x:c r="B200" s="43"/>
      <x:c r="C200" s="43"/>
      <x:c r="D200" s="45"/>
      <x:c r="E200" s="43"/>
      <x:c r="F200" s="43"/>
      <x:c r="G200" s="43"/>
      <x:c r="H200" s="43"/>
      <x:c r="I200" s="43"/>
      <x:c r="J200" s="43"/>
      <x:c r="K200" s="47"/>
      <x:c r="L200" s="43"/>
      <x:c r="M200" s="43"/>
    </x:row>
    <x:row r="201">
      <x:c r="A201" s="43"/>
      <x:c r="B201" s="43"/>
      <x:c r="C201" s="43"/>
      <x:c r="D201" s="45"/>
      <x:c r="E201" s="43"/>
      <x:c r="F201" s="43"/>
      <x:c r="G201" s="43"/>
      <x:c r="H201" s="43"/>
      <x:c r="I201" s="43"/>
      <x:c r="J201" s="43"/>
      <x:c r="K201" s="47"/>
      <x:c r="L201" s="43"/>
      <x:c r="M201" s="43"/>
    </x:row>
    <x:row r="202">
      <x:c r="A202" s="43"/>
      <x:c r="B202" s="43"/>
      <x:c r="C202" s="43"/>
      <x:c r="D202" s="45"/>
      <x:c r="E202" s="43"/>
      <x:c r="F202" s="43"/>
      <x:c r="G202" s="43"/>
      <x:c r="H202" s="43"/>
      <x:c r="I202" s="43"/>
      <x:c r="J202" s="43"/>
      <x:c r="K202" s="47"/>
      <x:c r="L202" s="43"/>
      <x:c r="M202" s="43"/>
    </x:row>
    <x:row r="203">
      <x:c r="A203" s="43"/>
      <x:c r="B203" s="43"/>
      <x:c r="C203" s="43"/>
      <x:c r="D203" s="45"/>
      <x:c r="E203" s="43"/>
      <x:c r="F203" s="43"/>
      <x:c r="G203" s="43"/>
      <x:c r="H203" s="43"/>
      <x:c r="I203" s="43"/>
      <x:c r="J203" s="43"/>
      <x:c r="K203" s="47"/>
      <x:c r="L203" s="43"/>
      <x:c r="M203" s="43"/>
    </x:row>
    <x:row r="204">
      <x:c r="A204" s="43"/>
      <x:c r="B204" s="43"/>
      <x:c r="C204" s="43"/>
      <x:c r="D204" s="45"/>
      <x:c r="E204" s="43"/>
      <x:c r="F204" s="43"/>
      <x:c r="G204" s="43"/>
      <x:c r="H204" s="43"/>
      <x:c r="I204" s="43"/>
      <x:c r="J204" s="43"/>
      <x:c r="K204" s="47"/>
      <x:c r="L204" s="43"/>
      <x:c r="M204" s="43"/>
    </x:row>
    <x:row r="205">
      <x:c r="A205" s="43"/>
      <x:c r="B205" s="43"/>
      <x:c r="C205" s="43"/>
      <x:c r="D205" s="45"/>
      <x:c r="E205" s="43"/>
      <x:c r="F205" s="43"/>
      <x:c r="G205" s="43"/>
      <x:c r="H205" s="43"/>
      <x:c r="I205" s="43"/>
      <x:c r="J205" s="43"/>
      <x:c r="K205" s="47"/>
      <x:c r="L205" s="43"/>
      <x:c r="M205" s="43"/>
    </x:row>
    <x:row r="206">
      <x:c r="A206" s="43"/>
      <x:c r="B206" s="43"/>
      <x:c r="C206" s="43"/>
      <x:c r="D206" s="45"/>
      <x:c r="E206" s="43"/>
      <x:c r="F206" s="43"/>
      <x:c r="G206" s="43"/>
      <x:c r="H206" s="43"/>
      <x:c r="I206" s="43"/>
      <x:c r="J206" s="43"/>
      <x:c r="K206" s="47"/>
      <x:c r="L206" s="43"/>
      <x:c r="M206" s="43"/>
    </x:row>
    <x:row r="207">
      <x:c r="A207" s="43"/>
      <x:c r="B207" s="43"/>
      <x:c r="C207" s="43"/>
      <x:c r="D207" s="45"/>
      <x:c r="E207" s="43"/>
      <x:c r="F207" s="43"/>
      <x:c r="G207" s="43"/>
      <x:c r="H207" s="43"/>
      <x:c r="I207" s="43"/>
      <x:c r="J207" s="43"/>
      <x:c r="K207" s="47"/>
      <x:c r="L207" s="43"/>
      <x:c r="M207" s="43"/>
    </x:row>
    <x:row r="208">
      <x:c r="A208" s="43"/>
      <x:c r="B208" s="43"/>
      <x:c r="C208" s="43"/>
      <x:c r="D208" s="45"/>
      <x:c r="E208" s="43"/>
      <x:c r="F208" s="43"/>
      <x:c r="G208" s="43"/>
      <x:c r="H208" s="43"/>
      <x:c r="I208" s="43"/>
      <x:c r="J208" s="43"/>
      <x:c r="K208" s="47"/>
      <x:c r="L208" s="43"/>
      <x:c r="M208" s="43"/>
    </x:row>
    <x:row r="209">
      <x:c r="A209" s="43"/>
      <x:c r="B209" s="43"/>
      <x:c r="C209" s="43"/>
      <x:c r="D209" s="45"/>
      <x:c r="E209" s="43"/>
      <x:c r="F209" s="43"/>
      <x:c r="G209" s="43"/>
      <x:c r="H209" s="43"/>
      <x:c r="I209" s="43"/>
      <x:c r="J209" s="43"/>
      <x:c r="K209" s="47"/>
      <x:c r="L209" s="43"/>
      <x:c r="M209" s="43"/>
    </x:row>
    <x:row r="210">
      <x:c r="A210" s="43"/>
      <x:c r="B210" s="43"/>
      <x:c r="C210" s="43"/>
      <x:c r="D210" s="45"/>
      <x:c r="E210" s="43"/>
      <x:c r="F210" s="43"/>
      <x:c r="G210" s="43"/>
      <x:c r="H210" s="43"/>
      <x:c r="I210" s="43"/>
      <x:c r="J210" s="43"/>
      <x:c r="K210" s="47"/>
      <x:c r="L210" s="43"/>
      <x:c r="M210" s="43"/>
    </x:row>
    <x:row r="211">
      <x:c r="A211" s="43"/>
      <x:c r="B211" s="43"/>
      <x:c r="C211" s="43"/>
      <x:c r="D211" s="45"/>
      <x:c r="E211" s="43"/>
      <x:c r="F211" s="43"/>
      <x:c r="G211" s="43"/>
      <x:c r="H211" s="43"/>
      <x:c r="I211" s="43"/>
      <x:c r="J211" s="43"/>
      <x:c r="K211" s="47"/>
      <x:c r="L211" s="43"/>
      <x:c r="M211" s="43"/>
    </x:row>
    <x:row r="212">
      <x:c r="A212" s="43"/>
      <x:c r="B212" s="43"/>
      <x:c r="C212" s="43"/>
      <x:c r="D212" s="45"/>
      <x:c r="E212" s="43"/>
      <x:c r="F212" s="43"/>
      <x:c r="G212" s="43"/>
      <x:c r="H212" s="43"/>
      <x:c r="I212" s="43"/>
      <x:c r="J212" s="43"/>
      <x:c r="K212" s="47"/>
      <x:c r="L212" s="43"/>
      <x:c r="M212" s="43"/>
    </x:row>
    <x:row r="213">
      <x:c r="A213" s="43"/>
      <x:c r="B213" s="43"/>
      <x:c r="C213" s="43"/>
      <x:c r="D213" s="45"/>
      <x:c r="E213" s="43"/>
      <x:c r="F213" s="43"/>
      <x:c r="G213" s="43"/>
      <x:c r="H213" s="43"/>
      <x:c r="I213" s="43"/>
      <x:c r="J213" s="43"/>
      <x:c r="K213" s="47"/>
      <x:c r="L213" s="43"/>
      <x:c r="M213" s="43"/>
    </x:row>
    <x:row r="214">
      <x:c r="A214" s="43"/>
      <x:c r="B214" s="43"/>
      <x:c r="C214" s="43"/>
      <x:c r="D214" s="45"/>
      <x:c r="E214" s="43"/>
      <x:c r="F214" s="43"/>
      <x:c r="G214" s="43"/>
      <x:c r="H214" s="43"/>
      <x:c r="I214" s="43"/>
      <x:c r="J214" s="43"/>
      <x:c r="K214" s="47"/>
      <x:c r="L214" s="43"/>
      <x:c r="M214" s="43"/>
    </x:row>
    <x:row r="215">
      <x:c r="A215" s="43"/>
      <x:c r="B215" s="43"/>
      <x:c r="C215" s="43"/>
      <x:c r="D215" s="45"/>
      <x:c r="E215" s="43"/>
      <x:c r="F215" s="43"/>
      <x:c r="G215" s="43"/>
      <x:c r="H215" s="43"/>
      <x:c r="I215" s="43"/>
      <x:c r="J215" s="43"/>
      <x:c r="K215" s="47"/>
      <x:c r="L215" s="43"/>
      <x:c r="M215" s="43"/>
    </x:row>
    <x:row r="216">
      <x:c r="A216" s="43"/>
      <x:c r="B216" s="43"/>
      <x:c r="C216" s="43"/>
      <x:c r="D216" s="45"/>
      <x:c r="E216" s="43"/>
      <x:c r="F216" s="43"/>
      <x:c r="G216" s="43"/>
      <x:c r="H216" s="43"/>
      <x:c r="I216" s="43"/>
      <x:c r="J216" s="43"/>
      <x:c r="K216" s="47"/>
      <x:c r="L216" s="43"/>
      <x:c r="M216" s="43"/>
    </x:row>
    <x:row r="217">
      <x:c r="A217" s="43"/>
      <x:c r="B217" s="43"/>
      <x:c r="C217" s="43"/>
      <x:c r="D217" s="45"/>
      <x:c r="E217" s="43"/>
      <x:c r="F217" s="43"/>
      <x:c r="G217" s="43"/>
      <x:c r="H217" s="43"/>
      <x:c r="I217" s="43"/>
      <x:c r="J217" s="43"/>
      <x:c r="K217" s="47"/>
      <x:c r="L217" s="43"/>
      <x:c r="M217" s="43"/>
    </x:row>
    <x:row r="218">
      <x:c r="A218" s="43"/>
      <x:c r="B218" s="43"/>
      <x:c r="C218" s="43"/>
      <x:c r="D218" s="45"/>
      <x:c r="E218" s="43"/>
      <x:c r="F218" s="43"/>
      <x:c r="G218" s="43"/>
      <x:c r="H218" s="43"/>
      <x:c r="I218" s="43"/>
      <x:c r="J218" s="43"/>
      <x:c r="K218" s="47"/>
      <x:c r="L218" s="43"/>
      <x:c r="M218" s="43"/>
    </x:row>
    <x:row r="219">
      <x:c r="A219" s="43"/>
      <x:c r="B219" s="43"/>
      <x:c r="C219" s="43"/>
      <x:c r="D219" s="45"/>
      <x:c r="E219" s="43"/>
      <x:c r="F219" s="43"/>
      <x:c r="G219" s="43"/>
      <x:c r="H219" s="43"/>
      <x:c r="I219" s="43"/>
      <x:c r="J219" s="43"/>
      <x:c r="K219" s="47"/>
      <x:c r="L219" s="43"/>
      <x:c r="M219" s="43"/>
    </x:row>
    <x:row r="220">
      <x:c r="A220" s="43"/>
      <x:c r="B220" s="43"/>
      <x:c r="C220" s="43"/>
      <x:c r="D220" s="45"/>
      <x:c r="E220" s="43"/>
      <x:c r="F220" s="43"/>
      <x:c r="G220" s="43"/>
      <x:c r="H220" s="43"/>
      <x:c r="I220" s="43"/>
      <x:c r="J220" s="43"/>
      <x:c r="K220" s="47"/>
      <x:c r="L220" s="43"/>
      <x:c r="M220" s="43"/>
    </x:row>
    <x:row r="221">
      <x:c r="A221" s="43"/>
      <x:c r="B221" s="43"/>
      <x:c r="C221" s="43"/>
      <x:c r="D221" s="45"/>
      <x:c r="E221" s="43"/>
      <x:c r="F221" s="43"/>
      <x:c r="G221" s="43"/>
      <x:c r="H221" s="43"/>
      <x:c r="I221" s="43"/>
      <x:c r="J221" s="43"/>
      <x:c r="K221" s="47"/>
      <x:c r="L221" s="43"/>
      <x:c r="M221" s="43"/>
    </x:row>
    <x:row r="222">
      <x:c r="A222" s="43"/>
      <x:c r="B222" s="43"/>
      <x:c r="C222" s="43"/>
      <x:c r="D222" s="45"/>
      <x:c r="E222" s="43"/>
      <x:c r="F222" s="43"/>
      <x:c r="G222" s="43"/>
      <x:c r="H222" s="43"/>
      <x:c r="I222" s="43"/>
      <x:c r="J222" s="43"/>
      <x:c r="K222" s="47"/>
      <x:c r="L222" s="43"/>
      <x:c r="M222" s="43"/>
    </x:row>
    <x:row r="223">
      <x:c r="A223" s="43"/>
      <x:c r="B223" s="43"/>
      <x:c r="C223" s="43"/>
      <x:c r="D223" s="45"/>
      <x:c r="E223" s="43"/>
      <x:c r="F223" s="43"/>
      <x:c r="G223" s="43"/>
      <x:c r="H223" s="43"/>
      <x:c r="I223" s="43"/>
      <x:c r="J223" s="43"/>
      <x:c r="K223" s="47"/>
      <x:c r="L223" s="43"/>
      <x:c r="M223" s="43"/>
    </x:row>
    <x:row r="224">
      <x:c r="A224" s="43"/>
      <x:c r="B224" s="43"/>
      <x:c r="C224" s="43"/>
      <x:c r="D224" s="45"/>
      <x:c r="E224" s="43"/>
      <x:c r="F224" s="43"/>
      <x:c r="G224" s="43"/>
      <x:c r="H224" s="43"/>
      <x:c r="I224" s="43"/>
      <x:c r="J224" s="43"/>
      <x:c r="K224" s="47"/>
      <x:c r="L224" s="43"/>
      <x:c r="M224" s="43"/>
    </x:row>
    <x:row r="225">
      <x:c r="A225" s="43"/>
      <x:c r="B225" s="43"/>
      <x:c r="C225" s="43"/>
      <x:c r="D225" s="45"/>
      <x:c r="E225" s="43"/>
      <x:c r="F225" s="43"/>
      <x:c r="G225" s="43"/>
      <x:c r="H225" s="43"/>
      <x:c r="I225" s="43"/>
      <x:c r="J225" s="43"/>
      <x:c r="K225" s="47"/>
      <x:c r="L225" s="43"/>
      <x:c r="M225" s="43"/>
    </x:row>
    <x:row r="226">
      <x:c r="A226" s="43"/>
      <x:c r="B226" s="43"/>
      <x:c r="C226" s="43"/>
      <x:c r="D226" s="45"/>
      <x:c r="E226" s="43"/>
      <x:c r="F226" s="43"/>
      <x:c r="G226" s="43"/>
      <x:c r="H226" s="43"/>
      <x:c r="I226" s="43"/>
      <x:c r="J226" s="43"/>
      <x:c r="K226" s="47"/>
      <x:c r="L226" s="43"/>
      <x:c r="M226" s="43"/>
    </x:row>
    <x:row r="227">
      <x:c r="A227" s="43"/>
      <x:c r="B227" s="43"/>
      <x:c r="C227" s="43"/>
      <x:c r="D227" s="45"/>
      <x:c r="E227" s="43"/>
      <x:c r="F227" s="43"/>
      <x:c r="G227" s="43"/>
      <x:c r="H227" s="43"/>
      <x:c r="I227" s="43"/>
      <x:c r="J227" s="43"/>
      <x:c r="K227" s="47"/>
      <x:c r="L227" s="43"/>
      <x:c r="M227" s="43"/>
    </x:row>
    <x:row r="228">
      <x:c r="A228" s="43"/>
      <x:c r="B228" s="43"/>
      <x:c r="C228" s="43"/>
      <x:c r="D228" s="45"/>
      <x:c r="E228" s="43"/>
      <x:c r="F228" s="43"/>
      <x:c r="G228" s="43"/>
      <x:c r="H228" s="43"/>
      <x:c r="I228" s="43"/>
      <x:c r="J228" s="43"/>
      <x:c r="K228" s="47"/>
      <x:c r="L228" s="43"/>
      <x:c r="M228" s="43"/>
    </x:row>
    <x:row r="229">
      <x:c r="A229" s="43"/>
      <x:c r="B229" s="43"/>
      <x:c r="C229" s="43"/>
      <x:c r="D229" s="45"/>
      <x:c r="E229" s="43"/>
      <x:c r="F229" s="43"/>
      <x:c r="G229" s="43"/>
      <x:c r="H229" s="43"/>
      <x:c r="I229" s="43"/>
      <x:c r="J229" s="43"/>
      <x:c r="K229" s="47"/>
      <x:c r="L229" s="43"/>
      <x:c r="M229" s="43"/>
    </x:row>
    <x:row r="230">
      <x:c r="A230" s="43"/>
      <x:c r="B230" s="43"/>
      <x:c r="C230" s="43"/>
      <x:c r="D230" s="45"/>
      <x:c r="E230" s="43"/>
      <x:c r="F230" s="43"/>
      <x:c r="G230" s="43"/>
      <x:c r="H230" s="43"/>
      <x:c r="I230" s="43"/>
      <x:c r="J230" s="43"/>
      <x:c r="K230" s="47"/>
      <x:c r="L230" s="43"/>
      <x:c r="M230" s="43"/>
    </x:row>
    <x:row r="231">
      <x:c r="A231" s="43"/>
      <x:c r="B231" s="43"/>
      <x:c r="C231" s="43"/>
      <x:c r="D231" s="45"/>
      <x:c r="E231" s="43"/>
      <x:c r="F231" s="43"/>
      <x:c r="G231" s="43"/>
      <x:c r="H231" s="43"/>
      <x:c r="I231" s="43"/>
      <x:c r="J231" s="43"/>
      <x:c r="K231" s="47"/>
      <x:c r="L231" s="43"/>
      <x:c r="M231" s="43"/>
    </x:row>
    <x:row r="232">
      <x:c r="A232" s="43"/>
      <x:c r="B232" s="43"/>
      <x:c r="C232" s="43"/>
      <x:c r="D232" s="45"/>
      <x:c r="E232" s="43"/>
      <x:c r="F232" s="43"/>
      <x:c r="G232" s="43"/>
      <x:c r="H232" s="43"/>
      <x:c r="I232" s="43"/>
      <x:c r="J232" s="43"/>
      <x:c r="K232" s="47"/>
      <x:c r="L232" s="43"/>
      <x:c r="M232" s="43"/>
    </x:row>
    <x:row r="233">
      <x:c r="A233" s="43"/>
      <x:c r="B233" s="43"/>
      <x:c r="C233" s="43"/>
      <x:c r="D233" s="45"/>
      <x:c r="E233" s="43"/>
      <x:c r="F233" s="43"/>
      <x:c r="G233" s="43"/>
      <x:c r="H233" s="43"/>
      <x:c r="I233" s="43"/>
      <x:c r="J233" s="43"/>
      <x:c r="K233" s="47"/>
      <x:c r="L233" s="43"/>
      <x:c r="M233" s="43"/>
    </x:row>
    <x:row r="234">
      <x:c r="A234" s="43"/>
      <x:c r="B234" s="43"/>
      <x:c r="C234" s="43"/>
      <x:c r="D234" s="45"/>
      <x:c r="E234" s="43"/>
      <x:c r="F234" s="43"/>
      <x:c r="G234" s="43"/>
      <x:c r="H234" s="43"/>
      <x:c r="I234" s="43"/>
      <x:c r="J234" s="43"/>
      <x:c r="K234" s="47"/>
      <x:c r="L234" s="43"/>
      <x:c r="M234" s="43"/>
    </x:row>
    <x:row r="235">
      <x:c r="A235" s="43"/>
      <x:c r="B235" s="43"/>
      <x:c r="C235" s="43"/>
      <x:c r="D235" s="45"/>
      <x:c r="E235" s="43"/>
      <x:c r="F235" s="43"/>
      <x:c r="G235" s="43"/>
      <x:c r="H235" s="43"/>
      <x:c r="I235" s="43"/>
      <x:c r="J235" s="43"/>
      <x:c r="K235" s="47"/>
      <x:c r="L235" s="43"/>
      <x:c r="M235" s="43"/>
    </x:row>
    <x:row r="236">
      <x:c r="A236" s="43"/>
      <x:c r="B236" s="43"/>
      <x:c r="C236" s="43"/>
      <x:c r="D236" s="45"/>
      <x:c r="E236" s="43"/>
      <x:c r="F236" s="43"/>
      <x:c r="G236" s="43"/>
      <x:c r="H236" s="43"/>
      <x:c r="I236" s="43"/>
      <x:c r="J236" s="43"/>
      <x:c r="K236" s="47"/>
      <x:c r="L236" s="43"/>
      <x:c r="M236" s="43"/>
    </x:row>
    <x:row r="237">
      <x:c r="A237" s="43"/>
      <x:c r="B237" s="43"/>
      <x:c r="C237" s="43"/>
      <x:c r="D237" s="45"/>
      <x:c r="E237" s="43"/>
      <x:c r="F237" s="43"/>
      <x:c r="G237" s="43"/>
      <x:c r="H237" s="43"/>
      <x:c r="I237" s="43"/>
      <x:c r="J237" s="43"/>
      <x:c r="K237" s="47"/>
      <x:c r="L237" s="43"/>
      <x:c r="M237" s="43"/>
    </x:row>
    <x:row r="238">
      <x:c r="A238" s="43"/>
      <x:c r="B238" s="43"/>
      <x:c r="C238" s="43"/>
      <x:c r="D238" s="45"/>
      <x:c r="E238" s="43"/>
      <x:c r="F238" s="43"/>
      <x:c r="G238" s="43"/>
      <x:c r="H238" s="43"/>
      <x:c r="I238" s="43"/>
      <x:c r="J238" s="43"/>
      <x:c r="K238" s="47"/>
      <x:c r="L238" s="43"/>
      <x:c r="M238" s="43"/>
    </x:row>
    <x:row r="239">
      <x:c r="A239" s="43"/>
      <x:c r="B239" s="43"/>
      <x:c r="C239" s="43"/>
      <x:c r="D239" s="45"/>
      <x:c r="E239" s="43"/>
      <x:c r="F239" s="43"/>
      <x:c r="G239" s="43"/>
      <x:c r="H239" s="43"/>
      <x:c r="I239" s="43"/>
      <x:c r="J239" s="43"/>
      <x:c r="K239" s="47"/>
      <x:c r="L239" s="43"/>
      <x:c r="M239" s="43"/>
    </x:row>
    <x:row r="240">
      <x:c r="A240" s="43"/>
      <x:c r="B240" s="43"/>
      <x:c r="C240" s="43"/>
      <x:c r="D240" s="45"/>
      <x:c r="E240" s="43"/>
      <x:c r="F240" s="43"/>
      <x:c r="G240" s="43"/>
      <x:c r="H240" s="43"/>
      <x:c r="I240" s="43"/>
      <x:c r="J240" s="43"/>
      <x:c r="K240" s="47"/>
      <x:c r="L240" s="43"/>
      <x:c r="M240" s="43"/>
    </x:row>
    <x:row r="241">
      <x:c r="A241" s="43"/>
      <x:c r="B241" s="43"/>
      <x:c r="C241" s="43"/>
      <x:c r="D241" s="45"/>
      <x:c r="E241" s="43"/>
      <x:c r="F241" s="43"/>
      <x:c r="G241" s="43"/>
      <x:c r="H241" s="43"/>
      <x:c r="I241" s="43"/>
      <x:c r="J241" s="43"/>
      <x:c r="K241" s="47"/>
      <x:c r="L241" s="43"/>
      <x:c r="M241" s="43"/>
    </x:row>
    <x:row r="242">
      <x:c r="A242" s="43"/>
      <x:c r="B242" s="43"/>
      <x:c r="C242" s="43"/>
      <x:c r="D242" s="45"/>
      <x:c r="E242" s="43"/>
      <x:c r="F242" s="43"/>
      <x:c r="G242" s="43"/>
      <x:c r="H242" s="43"/>
      <x:c r="I242" s="43"/>
      <x:c r="J242" s="43"/>
      <x:c r="K242" s="47"/>
      <x:c r="L242" s="43"/>
      <x:c r="M242" s="43"/>
    </x:row>
    <x:row r="243">
      <x:c r="A243" s="43"/>
      <x:c r="B243" s="43"/>
      <x:c r="C243" s="43"/>
      <x:c r="D243" s="45"/>
      <x:c r="E243" s="43"/>
      <x:c r="F243" s="43"/>
      <x:c r="G243" s="43"/>
      <x:c r="H243" s="43"/>
      <x:c r="I243" s="43"/>
      <x:c r="J243" s="43"/>
      <x:c r="K243" s="47"/>
      <x:c r="L243" s="43"/>
      <x:c r="M243" s="43"/>
    </x:row>
    <x:row r="244">
      <x:c r="A244" s="43"/>
      <x:c r="B244" s="43"/>
      <x:c r="C244" s="43"/>
      <x:c r="D244" s="45"/>
      <x:c r="E244" s="43"/>
      <x:c r="F244" s="43"/>
      <x:c r="G244" s="43"/>
      <x:c r="H244" s="43"/>
      <x:c r="I244" s="43"/>
      <x:c r="J244" s="43"/>
      <x:c r="K244" s="47"/>
      <x:c r="L244" s="43"/>
      <x:c r="M244" s="43"/>
    </x:row>
    <x:row r="245">
      <x:c r="A245" s="43"/>
      <x:c r="B245" s="43"/>
      <x:c r="C245" s="43"/>
      <x:c r="D245" s="45"/>
      <x:c r="E245" s="43"/>
      <x:c r="F245" s="43"/>
      <x:c r="G245" s="43"/>
      <x:c r="H245" s="43"/>
      <x:c r="I245" s="43"/>
      <x:c r="J245" s="43"/>
      <x:c r="K245" s="47"/>
      <x:c r="L245" s="43"/>
      <x:c r="M245" s="43"/>
    </x:row>
    <x:row r="246">
      <x:c r="A246" s="43"/>
      <x:c r="B246" s="43"/>
      <x:c r="C246" s="43"/>
      <x:c r="D246" s="45"/>
      <x:c r="E246" s="43"/>
      <x:c r="F246" s="43"/>
      <x:c r="G246" s="43"/>
      <x:c r="H246" s="43"/>
      <x:c r="I246" s="43"/>
      <x:c r="J246" s="43"/>
      <x:c r="K246" s="47"/>
      <x:c r="L246" s="43"/>
      <x:c r="M246" s="43"/>
    </x:row>
    <x:row r="247">
      <x:c r="A247" s="43"/>
      <x:c r="B247" s="43"/>
      <x:c r="C247" s="43"/>
      <x:c r="D247" s="45"/>
      <x:c r="E247" s="43"/>
      <x:c r="F247" s="43"/>
      <x:c r="G247" s="43"/>
      <x:c r="H247" s="43"/>
      <x:c r="I247" s="43"/>
      <x:c r="J247" s="43"/>
      <x:c r="K247" s="47"/>
      <x:c r="L247" s="43"/>
      <x:c r="M247" s="43"/>
    </x:row>
    <x:row r="248">
      <x:c r="A248" s="43"/>
      <x:c r="B248" s="43"/>
      <x:c r="C248" s="43"/>
      <x:c r="D248" s="45"/>
      <x:c r="E248" s="43"/>
      <x:c r="F248" s="43"/>
      <x:c r="G248" s="43"/>
      <x:c r="H248" s="43"/>
      <x:c r="I248" s="43"/>
      <x:c r="J248" s="43"/>
      <x:c r="K248" s="47"/>
      <x:c r="L248" s="43"/>
      <x:c r="M248" s="43"/>
    </x:row>
    <x:row r="249">
      <x:c r="A249" s="43"/>
      <x:c r="B249" s="43"/>
      <x:c r="C249" s="43"/>
      <x:c r="D249" s="45"/>
      <x:c r="E249" s="43"/>
      <x:c r="F249" s="43"/>
      <x:c r="G249" s="43"/>
      <x:c r="H249" s="43"/>
      <x:c r="I249" s="43"/>
      <x:c r="J249" s="43"/>
      <x:c r="K249" s="47"/>
      <x:c r="L249" s="43"/>
      <x:c r="M249" s="43"/>
    </x:row>
    <x:row r="250">
      <x:c r="A250" s="43"/>
      <x:c r="B250" s="43"/>
      <x:c r="C250" s="43"/>
      <x:c r="D250" s="45"/>
      <x:c r="E250" s="43"/>
      <x:c r="F250" s="43"/>
      <x:c r="G250" s="43"/>
      <x:c r="H250" s="43"/>
      <x:c r="I250" s="43"/>
      <x:c r="J250" s="43"/>
      <x:c r="K250" s="47"/>
      <x:c r="L250" s="43"/>
      <x:c r="M250" s="43"/>
    </x:row>
    <x:row r="251">
      <x:c r="A251" s="43"/>
      <x:c r="B251" s="43"/>
      <x:c r="C251" s="43"/>
      <x:c r="D251" s="45"/>
      <x:c r="E251" s="43"/>
      <x:c r="F251" s="43"/>
      <x:c r="G251" s="43"/>
      <x:c r="H251" s="43"/>
      <x:c r="I251" s="43"/>
      <x:c r="J251" s="43"/>
      <x:c r="K251" s="47"/>
      <x:c r="L251" s="43"/>
      <x:c r="M251" s="43"/>
    </x:row>
    <x:row r="252">
      <x:c r="A252" s="43"/>
      <x:c r="B252" s="43"/>
      <x:c r="C252" s="43"/>
      <x:c r="D252" s="45"/>
      <x:c r="E252" s="43"/>
      <x:c r="F252" s="43"/>
      <x:c r="G252" s="43"/>
      <x:c r="H252" s="43"/>
      <x:c r="I252" s="43"/>
      <x:c r="J252" s="43"/>
      <x:c r="K252" s="47"/>
      <x:c r="L252" s="43"/>
      <x:c r="M252" s="43"/>
    </x:row>
    <x:row r="253">
      <x:c r="A253" s="43"/>
      <x:c r="B253" s="43"/>
      <x:c r="C253" s="43"/>
      <x:c r="D253" s="45"/>
      <x:c r="E253" s="43"/>
      <x:c r="F253" s="43"/>
      <x:c r="G253" s="43"/>
      <x:c r="H253" s="43"/>
      <x:c r="I253" s="43"/>
      <x:c r="J253" s="43"/>
      <x:c r="K253" s="47"/>
      <x:c r="L253" s="43"/>
      <x:c r="M253" s="43"/>
    </x:row>
    <x:row r="254">
      <x:c r="A254" s="43"/>
      <x:c r="B254" s="43"/>
      <x:c r="C254" s="43"/>
      <x:c r="D254" s="45"/>
      <x:c r="E254" s="43"/>
      <x:c r="F254" s="43"/>
      <x:c r="G254" s="43"/>
      <x:c r="H254" s="43"/>
      <x:c r="I254" s="43"/>
      <x:c r="J254" s="43"/>
      <x:c r="K254" s="47"/>
      <x:c r="L254" s="43"/>
      <x:c r="M254" s="43"/>
    </x:row>
    <x:row r="255">
      <x:c r="A255" s="43"/>
      <x:c r="B255" s="43"/>
      <x:c r="C255" s="43"/>
      <x:c r="D255" s="45"/>
      <x:c r="E255" s="43"/>
      <x:c r="F255" s="43"/>
      <x:c r="G255" s="43"/>
      <x:c r="H255" s="43"/>
      <x:c r="I255" s="43"/>
      <x:c r="J255" s="43"/>
      <x:c r="K255" s="47"/>
      <x:c r="L255" s="43"/>
      <x:c r="M255" s="43"/>
    </x:row>
    <x:row r="256">
      <x:c r="A256" s="43"/>
      <x:c r="B256" s="43"/>
      <x:c r="C256" s="43"/>
      <x:c r="D256" s="45"/>
      <x:c r="E256" s="43"/>
      <x:c r="F256" s="43"/>
      <x:c r="G256" s="43"/>
      <x:c r="H256" s="43"/>
      <x:c r="I256" s="43"/>
      <x:c r="J256" s="43"/>
      <x:c r="K256" s="47"/>
      <x:c r="L256" s="43"/>
      <x:c r="M256" s="43"/>
    </x:row>
    <x:row r="257">
      <x:c r="A257" s="43"/>
      <x:c r="B257" s="43"/>
      <x:c r="C257" s="43"/>
      <x:c r="D257" s="45"/>
      <x:c r="E257" s="43"/>
      <x:c r="F257" s="43"/>
      <x:c r="G257" s="43"/>
      <x:c r="H257" s="43"/>
      <x:c r="I257" s="43"/>
      <x:c r="J257" s="43"/>
      <x:c r="K257" s="47"/>
      <x:c r="L257" s="43"/>
      <x:c r="M257" s="43"/>
    </x:row>
    <x:row r="258">
      <x:c r="A258" s="43"/>
      <x:c r="B258" s="43"/>
      <x:c r="C258" s="43"/>
      <x:c r="D258" s="45"/>
      <x:c r="E258" s="43"/>
      <x:c r="F258" s="43"/>
      <x:c r="G258" s="43"/>
      <x:c r="H258" s="43"/>
      <x:c r="I258" s="43"/>
      <x:c r="J258" s="43"/>
      <x:c r="K258" s="47"/>
      <x:c r="L258" s="43"/>
      <x:c r="M258" s="43"/>
    </x:row>
    <x:row r="259">
      <x:c r="A259" s="43"/>
      <x:c r="B259" s="43"/>
      <x:c r="C259" s="43"/>
      <x:c r="D259" s="45"/>
      <x:c r="E259" s="43"/>
      <x:c r="F259" s="43"/>
      <x:c r="G259" s="43"/>
      <x:c r="H259" s="43"/>
      <x:c r="I259" s="43"/>
      <x:c r="J259" s="43"/>
      <x:c r="K259" s="47"/>
      <x:c r="L259" s="43"/>
      <x:c r="M259" s="43"/>
    </x:row>
    <x:row r="260">
      <x:c r="A260" s="43"/>
      <x:c r="B260" s="43"/>
      <x:c r="C260" s="43"/>
      <x:c r="D260" s="45"/>
      <x:c r="E260" s="43"/>
      <x:c r="F260" s="43"/>
      <x:c r="G260" s="43"/>
      <x:c r="H260" s="43"/>
      <x:c r="I260" s="43"/>
      <x:c r="J260" s="43"/>
      <x:c r="K260" s="47"/>
      <x:c r="L260" s="43"/>
      <x:c r="M260" s="43"/>
    </x:row>
    <x:row r="261">
      <x:c r="A261" s="43"/>
      <x:c r="B261" s="43"/>
      <x:c r="C261" s="43"/>
      <x:c r="D261" s="45"/>
      <x:c r="E261" s="43"/>
      <x:c r="F261" s="43"/>
      <x:c r="G261" s="43"/>
      <x:c r="H261" s="43"/>
      <x:c r="I261" s="43"/>
      <x:c r="J261" s="43"/>
      <x:c r="K261" s="47"/>
      <x:c r="L261" s="43"/>
      <x:c r="M261" s="43"/>
    </x:row>
    <x:row r="262">
      <x:c r="A262" s="43"/>
      <x:c r="B262" s="43"/>
      <x:c r="C262" s="43"/>
      <x:c r="D262" s="45"/>
      <x:c r="E262" s="43"/>
      <x:c r="F262" s="43"/>
      <x:c r="G262" s="43"/>
      <x:c r="H262" s="43"/>
      <x:c r="I262" s="43"/>
      <x:c r="J262" s="43"/>
      <x:c r="K262" s="47"/>
      <x:c r="L262" s="43"/>
      <x:c r="M262" s="43"/>
    </x:row>
    <x:row r="263">
      <x:c r="A263" s="43"/>
      <x:c r="B263" s="43"/>
      <x:c r="C263" s="43"/>
      <x:c r="D263" s="45"/>
      <x:c r="E263" s="43"/>
      <x:c r="F263" s="43"/>
      <x:c r="G263" s="43"/>
      <x:c r="H263" s="43"/>
      <x:c r="I263" s="43"/>
      <x:c r="J263" s="43"/>
      <x:c r="K263" s="47"/>
      <x:c r="L263" s="43"/>
      <x:c r="M263" s="43"/>
    </x:row>
    <x:row r="264">
      <x:c r="A264" s="43"/>
      <x:c r="B264" s="43"/>
      <x:c r="C264" s="43"/>
      <x:c r="D264" s="45"/>
      <x:c r="E264" s="43"/>
      <x:c r="F264" s="43"/>
      <x:c r="G264" s="43"/>
      <x:c r="H264" s="43"/>
      <x:c r="I264" s="43"/>
      <x:c r="J264" s="43"/>
      <x:c r="K264" s="47"/>
      <x:c r="L264" s="43"/>
      <x:c r="M264" s="43"/>
    </x:row>
    <x:row r="265">
      <x:c r="A265" s="43"/>
      <x:c r="B265" s="43"/>
      <x:c r="C265" s="43"/>
      <x:c r="D265" s="45"/>
      <x:c r="E265" s="43"/>
      <x:c r="F265" s="43"/>
      <x:c r="G265" s="43"/>
      <x:c r="H265" s="43"/>
      <x:c r="I265" s="43"/>
      <x:c r="J265" s="43"/>
      <x:c r="K265" s="47"/>
      <x:c r="L265" s="43"/>
      <x:c r="M265" s="43"/>
    </x:row>
    <x:row r="266">
      <x:c r="A266" s="43"/>
      <x:c r="B266" s="43"/>
      <x:c r="C266" s="43"/>
      <x:c r="D266" s="45"/>
      <x:c r="E266" s="43"/>
      <x:c r="F266" s="43"/>
      <x:c r="G266" s="43"/>
      <x:c r="H266" s="43"/>
      <x:c r="I266" s="43"/>
      <x:c r="J266" s="43"/>
      <x:c r="K266" s="47"/>
      <x:c r="L266" s="43"/>
      <x:c r="M266" s="43"/>
    </x:row>
    <x:row r="267">
      <x:c r="A267" s="43"/>
      <x:c r="B267" s="43"/>
      <x:c r="C267" s="43"/>
      <x:c r="D267" s="45"/>
      <x:c r="E267" s="43"/>
      <x:c r="F267" s="43"/>
      <x:c r="G267" s="43"/>
      <x:c r="H267" s="43"/>
      <x:c r="I267" s="43"/>
      <x:c r="J267" s="43"/>
      <x:c r="K267" s="47"/>
      <x:c r="L267" s="43"/>
      <x:c r="M267" s="43"/>
    </x:row>
    <x:row r="268">
      <x:c r="A268" s="43"/>
      <x:c r="B268" s="43"/>
      <x:c r="C268" s="43"/>
      <x:c r="D268" s="45"/>
      <x:c r="E268" s="43"/>
      <x:c r="F268" s="43"/>
      <x:c r="G268" s="43"/>
      <x:c r="H268" s="43"/>
      <x:c r="I268" s="43"/>
      <x:c r="J268" s="43"/>
      <x:c r="K268" s="47"/>
      <x:c r="L268" s="43"/>
      <x:c r="M268" s="43"/>
    </x:row>
    <x:row r="269">
      <x:c r="A269" s="43"/>
      <x:c r="B269" s="43"/>
      <x:c r="C269" s="43"/>
      <x:c r="D269" s="45"/>
      <x:c r="E269" s="43"/>
      <x:c r="F269" s="43"/>
      <x:c r="G269" s="43"/>
      <x:c r="H269" s="43"/>
      <x:c r="I269" s="43"/>
      <x:c r="J269" s="43"/>
      <x:c r="K269" s="47"/>
      <x:c r="L269" s="43"/>
      <x:c r="M269" s="43"/>
    </x:row>
    <x:row r="270">
      <x:c r="A270" s="43"/>
      <x:c r="B270" s="43"/>
      <x:c r="C270" s="43"/>
      <x:c r="D270" s="45"/>
      <x:c r="E270" s="43"/>
      <x:c r="F270" s="43"/>
      <x:c r="G270" s="43"/>
      <x:c r="H270" s="43"/>
      <x:c r="I270" s="43"/>
      <x:c r="J270" s="43"/>
      <x:c r="K270" s="47"/>
      <x:c r="L270" s="43"/>
      <x:c r="M270" s="43"/>
    </x:row>
    <x:row r="271">
      <x:c r="A271" s="43"/>
      <x:c r="B271" s="43"/>
      <x:c r="C271" s="43"/>
      <x:c r="D271" s="45"/>
      <x:c r="E271" s="43"/>
      <x:c r="F271" s="43"/>
      <x:c r="G271" s="43"/>
      <x:c r="H271" s="43"/>
      <x:c r="I271" s="43"/>
      <x:c r="J271" s="43"/>
      <x:c r="K271" s="47"/>
      <x:c r="L271" s="43"/>
      <x:c r="M271" s="43"/>
    </x:row>
    <x:row r="272">
      <x:c r="A272" s="43"/>
      <x:c r="B272" s="43"/>
      <x:c r="C272" s="43"/>
      <x:c r="D272" s="45"/>
      <x:c r="E272" s="43"/>
      <x:c r="F272" s="43"/>
      <x:c r="G272" s="43"/>
      <x:c r="H272" s="43"/>
      <x:c r="I272" s="43"/>
      <x:c r="J272" s="43"/>
      <x:c r="K272" s="47"/>
      <x:c r="L272" s="43"/>
      <x:c r="M272" s="43"/>
    </x:row>
    <x:row r="273">
      <x:c r="A273" s="43"/>
      <x:c r="B273" s="43"/>
      <x:c r="C273" s="43"/>
      <x:c r="D273" s="45"/>
      <x:c r="E273" s="43"/>
      <x:c r="F273" s="43"/>
      <x:c r="G273" s="43"/>
      <x:c r="H273" s="43"/>
      <x:c r="I273" s="43"/>
      <x:c r="J273" s="43"/>
      <x:c r="K273" s="47"/>
      <x:c r="L273" s="43"/>
      <x:c r="M273" s="43"/>
    </x:row>
    <x:row r="274">
      <x:c r="A274" s="43"/>
      <x:c r="B274" s="43"/>
      <x:c r="C274" s="43"/>
      <x:c r="D274" s="45"/>
      <x:c r="E274" s="43"/>
      <x:c r="F274" s="43"/>
      <x:c r="G274" s="43"/>
      <x:c r="H274" s="43"/>
      <x:c r="I274" s="43"/>
      <x:c r="J274" s="43"/>
      <x:c r="K274" s="47"/>
      <x:c r="L274" s="43"/>
      <x:c r="M274" s="43"/>
    </x:row>
    <x:row r="275">
      <x:c r="A275" s="43"/>
      <x:c r="B275" s="43"/>
      <x:c r="C275" s="43"/>
      <x:c r="D275" s="45"/>
      <x:c r="E275" s="43"/>
      <x:c r="F275" s="43"/>
      <x:c r="G275" s="43"/>
      <x:c r="H275" s="43"/>
      <x:c r="I275" s="43"/>
      <x:c r="J275" s="43"/>
      <x:c r="K275" s="47"/>
      <x:c r="L275" s="43"/>
      <x:c r="M275" s="43"/>
    </x:row>
    <x:row r="276">
      <x:c r="A276" s="43"/>
      <x:c r="B276" s="43"/>
      <x:c r="C276" s="43"/>
      <x:c r="D276" s="45"/>
      <x:c r="E276" s="43"/>
      <x:c r="F276" s="43"/>
      <x:c r="G276" s="43"/>
      <x:c r="H276" s="43"/>
      <x:c r="I276" s="43"/>
      <x:c r="J276" s="43"/>
      <x:c r="K276" s="47"/>
      <x:c r="L276" s="43"/>
      <x:c r="M276" s="43"/>
    </x:row>
    <x:row r="277">
      <x:c r="A277" s="43"/>
      <x:c r="B277" s="43"/>
      <x:c r="C277" s="43"/>
      <x:c r="D277" s="45"/>
      <x:c r="E277" s="43"/>
      <x:c r="F277" s="43"/>
      <x:c r="G277" s="43"/>
      <x:c r="H277" s="43"/>
      <x:c r="I277" s="43"/>
      <x:c r="J277" s="43"/>
      <x:c r="K277" s="47"/>
      <x:c r="L277" s="43"/>
      <x:c r="M277" s="43"/>
    </x:row>
    <x:row r="278">
      <x:c r="A278" s="43"/>
      <x:c r="B278" s="43"/>
      <x:c r="C278" s="43"/>
      <x:c r="D278" s="45"/>
      <x:c r="E278" s="43"/>
      <x:c r="F278" s="43"/>
      <x:c r="G278" s="43"/>
      <x:c r="H278" s="43"/>
      <x:c r="I278" s="43"/>
      <x:c r="J278" s="43"/>
      <x:c r="K278" s="47"/>
      <x:c r="L278" s="43"/>
      <x:c r="M278" s="43"/>
    </x:row>
    <x:row r="279">
      <x:c r="A279" s="43"/>
      <x:c r="B279" s="43"/>
      <x:c r="C279" s="43"/>
      <x:c r="D279" s="45"/>
      <x:c r="E279" s="43"/>
      <x:c r="F279" s="43"/>
      <x:c r="G279" s="43"/>
      <x:c r="H279" s="43"/>
      <x:c r="I279" s="43"/>
      <x:c r="J279" s="43"/>
      <x:c r="K279" s="47"/>
      <x:c r="L279" s="43"/>
      <x:c r="M279" s="43"/>
    </x:row>
    <x:row r="280">
      <x:c r="A280" s="43"/>
      <x:c r="B280" s="43"/>
      <x:c r="C280" s="43"/>
      <x:c r="D280" s="45"/>
      <x:c r="E280" s="43"/>
      <x:c r="F280" s="43"/>
      <x:c r="G280" s="43"/>
      <x:c r="H280" s="43"/>
      <x:c r="I280" s="43"/>
      <x:c r="J280" s="43"/>
      <x:c r="K280" s="47"/>
      <x:c r="L280" s="43"/>
      <x:c r="M280" s="43"/>
    </x:row>
    <x:row r="281">
      <x:c r="A281" s="43"/>
      <x:c r="B281" s="43"/>
      <x:c r="C281" s="43"/>
      <x:c r="D281" s="45"/>
      <x:c r="E281" s="43"/>
      <x:c r="F281" s="43"/>
      <x:c r="G281" s="43"/>
      <x:c r="H281" s="43"/>
      <x:c r="I281" s="43"/>
      <x:c r="J281" s="43"/>
      <x:c r="K281" s="47"/>
      <x:c r="L281" s="43"/>
      <x:c r="M281" s="43"/>
    </x:row>
    <x:row r="282">
      <x:c r="A282" s="43"/>
      <x:c r="B282" s="43"/>
      <x:c r="C282" s="43"/>
      <x:c r="D282" s="45"/>
      <x:c r="E282" s="43"/>
      <x:c r="F282" s="43"/>
      <x:c r="G282" s="43"/>
      <x:c r="H282" s="43"/>
      <x:c r="I282" s="43"/>
      <x:c r="J282" s="43"/>
      <x:c r="K282" s="47"/>
      <x:c r="L282" s="43"/>
      <x:c r="M282" s="43"/>
    </x:row>
    <x:row r="283">
      <x:c r="A283" s="43"/>
      <x:c r="B283" s="43"/>
      <x:c r="C283" s="43"/>
      <x:c r="D283" s="45"/>
      <x:c r="E283" s="43"/>
      <x:c r="F283" s="43"/>
      <x:c r="G283" s="43"/>
      <x:c r="H283" s="43"/>
      <x:c r="I283" s="43"/>
      <x:c r="J283" s="43"/>
      <x:c r="K283" s="47"/>
      <x:c r="L283" s="43"/>
      <x:c r="M283" s="43"/>
    </x:row>
    <x:row r="284">
      <x:c r="A284" s="43"/>
      <x:c r="B284" s="43"/>
      <x:c r="C284" s="43"/>
      <x:c r="D284" s="45"/>
      <x:c r="E284" s="43"/>
      <x:c r="F284" s="43"/>
      <x:c r="G284" s="43"/>
      <x:c r="H284" s="43"/>
      <x:c r="I284" s="43"/>
      <x:c r="J284" s="43"/>
      <x:c r="K284" s="47"/>
      <x:c r="L284" s="43"/>
      <x:c r="M284" s="43"/>
    </x:row>
    <x:row r="285">
      <x:c r="A285" s="43"/>
      <x:c r="B285" s="43"/>
      <x:c r="C285" s="43"/>
      <x:c r="D285" s="45"/>
      <x:c r="E285" s="43"/>
      <x:c r="F285" s="43"/>
      <x:c r="G285" s="43"/>
      <x:c r="H285" s="43"/>
      <x:c r="I285" s="43"/>
      <x:c r="J285" s="43"/>
      <x:c r="K285" s="47"/>
      <x:c r="L285" s="43"/>
      <x:c r="M285" s="43"/>
    </x:row>
    <x:row r="286">
      <x:c r="A286" s="43"/>
      <x:c r="B286" s="43"/>
      <x:c r="C286" s="43"/>
      <x:c r="D286" s="45"/>
      <x:c r="E286" s="43"/>
      <x:c r="F286" s="43"/>
      <x:c r="G286" s="43"/>
      <x:c r="H286" s="43"/>
      <x:c r="I286" s="43"/>
      <x:c r="J286" s="43"/>
      <x:c r="K286" s="47"/>
      <x:c r="L286" s="43"/>
      <x:c r="M286" s="43"/>
    </x:row>
    <x:row r="287">
      <x:c r="A287" s="43"/>
      <x:c r="B287" s="43"/>
      <x:c r="C287" s="43"/>
      <x:c r="D287" s="45"/>
      <x:c r="E287" s="43"/>
      <x:c r="F287" s="43"/>
      <x:c r="G287" s="43"/>
      <x:c r="H287" s="43"/>
      <x:c r="I287" s="43"/>
      <x:c r="J287" s="43"/>
      <x:c r="K287" s="47"/>
      <x:c r="L287" s="43"/>
      <x:c r="M287" s="43"/>
    </x:row>
    <x:row r="288">
      <x:c r="A288" s="43"/>
      <x:c r="B288" s="43"/>
      <x:c r="C288" s="43"/>
      <x:c r="D288" s="45"/>
      <x:c r="E288" s="43"/>
      <x:c r="F288" s="43"/>
      <x:c r="G288" s="43"/>
      <x:c r="H288" s="43"/>
      <x:c r="I288" s="43"/>
      <x:c r="J288" s="43"/>
      <x:c r="K288" s="47"/>
      <x:c r="L288" s="43"/>
      <x:c r="M288" s="43"/>
    </x:row>
    <x:row r="289">
      <x:c r="A289" s="43"/>
      <x:c r="B289" s="43"/>
      <x:c r="C289" s="43"/>
      <x:c r="D289" s="45"/>
      <x:c r="E289" s="43"/>
      <x:c r="F289" s="43"/>
      <x:c r="G289" s="43"/>
      <x:c r="H289" s="43"/>
      <x:c r="I289" s="43"/>
      <x:c r="J289" s="43"/>
      <x:c r="K289" s="47"/>
      <x:c r="L289" s="43"/>
      <x:c r="M289" s="43"/>
    </x:row>
    <x:row r="290">
      <x:c r="A290" s="43"/>
      <x:c r="B290" s="43"/>
      <x:c r="C290" s="43"/>
      <x:c r="D290" s="45"/>
      <x:c r="E290" s="43"/>
      <x:c r="F290" s="43"/>
      <x:c r="G290" s="43"/>
      <x:c r="H290" s="43"/>
      <x:c r="I290" s="43"/>
      <x:c r="J290" s="43"/>
      <x:c r="K290" s="47"/>
      <x:c r="L290" s="43"/>
      <x:c r="M290" s="43"/>
    </x:row>
    <x:row r="291">
      <x:c r="A291" s="43"/>
      <x:c r="B291" s="43"/>
      <x:c r="C291" s="43"/>
      <x:c r="D291" s="45"/>
      <x:c r="E291" s="43"/>
      <x:c r="F291" s="43"/>
      <x:c r="G291" s="43"/>
      <x:c r="H291" s="43"/>
      <x:c r="I291" s="43"/>
      <x:c r="J291" s="43"/>
      <x:c r="K291" s="47"/>
      <x:c r="L291" s="43"/>
      <x:c r="M291" s="43"/>
    </x:row>
    <x:row r="292">
      <x:c r="A292" s="43"/>
      <x:c r="B292" s="43"/>
      <x:c r="C292" s="43"/>
      <x:c r="D292" s="45"/>
      <x:c r="E292" s="43"/>
      <x:c r="F292" s="43"/>
      <x:c r="G292" s="43"/>
      <x:c r="H292" s="43"/>
      <x:c r="I292" s="43"/>
      <x:c r="J292" s="43"/>
      <x:c r="K292" s="47"/>
      <x:c r="L292" s="43"/>
      <x:c r="M292" s="43"/>
    </x:row>
    <x:row r="293">
      <x:c r="A293" s="43"/>
      <x:c r="B293" s="43"/>
      <x:c r="C293" s="43"/>
      <x:c r="D293" s="45"/>
      <x:c r="E293" s="43"/>
      <x:c r="F293" s="43"/>
      <x:c r="G293" s="43"/>
      <x:c r="H293" s="43"/>
      <x:c r="I293" s="43"/>
      <x:c r="J293" s="43"/>
      <x:c r="K293" s="47"/>
      <x:c r="L293" s="43"/>
      <x:c r="M293" s="43"/>
    </x:row>
    <x:row r="294">
      <x:c r="A294" s="43"/>
      <x:c r="B294" s="43"/>
      <x:c r="C294" s="43"/>
      <x:c r="D294" s="45"/>
      <x:c r="E294" s="43"/>
      <x:c r="F294" s="43"/>
      <x:c r="G294" s="43"/>
      <x:c r="H294" s="43"/>
      <x:c r="I294" s="43"/>
      <x:c r="J294" s="43"/>
      <x:c r="K294" s="47"/>
      <x:c r="L294" s="43"/>
      <x:c r="M294" s="43"/>
    </x:row>
    <x:row r="295">
      <x:c r="A295" s="43"/>
      <x:c r="B295" s="43"/>
      <x:c r="C295" s="43"/>
      <x:c r="D295" s="45"/>
      <x:c r="E295" s="43"/>
      <x:c r="F295" s="43"/>
      <x:c r="G295" s="43"/>
      <x:c r="H295" s="43"/>
      <x:c r="I295" s="43"/>
      <x:c r="J295" s="43"/>
      <x:c r="K295" s="47"/>
      <x:c r="L295" s="43"/>
      <x:c r="M295" s="43"/>
    </x:row>
    <x:row r="296">
      <x:c r="A296" s="43"/>
      <x:c r="B296" s="43"/>
      <x:c r="C296" s="43"/>
      <x:c r="D296" s="45"/>
      <x:c r="E296" s="43"/>
      <x:c r="F296" s="43"/>
      <x:c r="G296" s="43"/>
      <x:c r="H296" s="43"/>
      <x:c r="I296" s="43"/>
      <x:c r="J296" s="43"/>
      <x:c r="K296" s="47"/>
      <x:c r="L296" s="43"/>
      <x:c r="M296" s="43"/>
    </x:row>
    <x:row r="297">
      <x:c r="A297" s="43"/>
      <x:c r="B297" s="43"/>
      <x:c r="C297" s="43"/>
      <x:c r="D297" s="45"/>
      <x:c r="E297" s="43"/>
      <x:c r="F297" s="43"/>
      <x:c r="G297" s="43"/>
      <x:c r="H297" s="43"/>
      <x:c r="I297" s="43"/>
      <x:c r="J297" s="43"/>
      <x:c r="K297" s="47"/>
      <x:c r="L297" s="43"/>
      <x:c r="M297" s="43"/>
    </x:row>
    <x:row r="298">
      <x:c r="A298" s="43"/>
      <x:c r="B298" s="43"/>
      <x:c r="C298" s="43"/>
      <x:c r="D298" s="45"/>
      <x:c r="E298" s="43"/>
      <x:c r="F298" s="43"/>
      <x:c r="G298" s="43"/>
      <x:c r="H298" s="43"/>
      <x:c r="I298" s="43"/>
      <x:c r="J298" s="43"/>
      <x:c r="K298" s="47"/>
      <x:c r="L298" s="43"/>
      <x:c r="M298" s="43"/>
    </x:row>
    <x:row r="299">
      <x:c r="A299" s="43"/>
      <x:c r="B299" s="43"/>
      <x:c r="C299" s="43"/>
      <x:c r="D299" s="45"/>
      <x:c r="E299" s="43"/>
      <x:c r="F299" s="43"/>
      <x:c r="G299" s="43"/>
      <x:c r="H299" s="43"/>
      <x:c r="I299" s="43"/>
      <x:c r="J299" s="43"/>
      <x:c r="K299" s="47"/>
      <x:c r="L299" s="43"/>
      <x:c r="M299" s="43"/>
    </x:row>
    <x:row r="300">
      <x:c r="A300" s="43"/>
      <x:c r="B300" s="43"/>
      <x:c r="C300" s="43"/>
      <x:c r="D300" s="45"/>
      <x:c r="E300" s="43"/>
      <x:c r="F300" s="43"/>
      <x:c r="G300" s="43"/>
      <x:c r="H300" s="43"/>
      <x:c r="I300" s="43"/>
      <x:c r="J300" s="43"/>
      <x:c r="K300" s="47"/>
      <x:c r="L300" s="43"/>
      <x:c r="M300" s="43"/>
    </x:row>
    <x:row r="301">
      <x:c r="A301" s="43"/>
      <x:c r="B301" s="43"/>
      <x:c r="C301" s="43"/>
      <x:c r="D301" s="45"/>
      <x:c r="E301" s="43"/>
      <x:c r="F301" s="43"/>
      <x:c r="G301" s="43"/>
      <x:c r="H301" s="43"/>
      <x:c r="I301" s="43"/>
      <x:c r="J301" s="43"/>
      <x:c r="K301" s="47"/>
      <x:c r="L301" s="43"/>
      <x:c r="M301" s="43"/>
    </x:row>
    <x:row r="302">
      <x:c r="A302" s="43"/>
      <x:c r="B302" s="43"/>
      <x:c r="C302" s="43"/>
      <x:c r="D302" s="45"/>
      <x:c r="E302" s="43"/>
      <x:c r="F302" s="43"/>
      <x:c r="G302" s="43"/>
      <x:c r="H302" s="43"/>
      <x:c r="I302" s="43"/>
      <x:c r="J302" s="43"/>
      <x:c r="K302" s="47"/>
      <x:c r="L302" s="43"/>
      <x:c r="M302" s="43"/>
    </x:row>
    <x:row r="303">
      <x:c r="A303" s="43"/>
      <x:c r="B303" s="43"/>
      <x:c r="C303" s="43"/>
      <x:c r="D303" s="45"/>
      <x:c r="E303" s="43"/>
      <x:c r="F303" s="43"/>
      <x:c r="G303" s="43"/>
      <x:c r="H303" s="43"/>
      <x:c r="I303" s="43"/>
      <x:c r="J303" s="43"/>
      <x:c r="K303" s="47"/>
      <x:c r="L303" s="43"/>
      <x:c r="M303" s="43"/>
    </x:row>
    <x:row r="304">
      <x:c r="A304" s="43"/>
      <x:c r="B304" s="43"/>
      <x:c r="C304" s="43"/>
      <x:c r="D304" s="45"/>
      <x:c r="E304" s="43"/>
      <x:c r="F304" s="43"/>
      <x:c r="G304" s="43"/>
      <x:c r="H304" s="43"/>
      <x:c r="I304" s="43"/>
      <x:c r="J304" s="43"/>
      <x:c r="K304" s="47"/>
      <x:c r="L304" s="43"/>
      <x:c r="M304" s="43"/>
    </x:row>
    <x:row r="305">
      <x:c r="A305" s="43"/>
      <x:c r="B305" s="43"/>
      <x:c r="C305" s="43"/>
      <x:c r="D305" s="45"/>
      <x:c r="E305" s="43"/>
      <x:c r="F305" s="43"/>
      <x:c r="G305" s="43"/>
      <x:c r="H305" s="43"/>
      <x:c r="I305" s="43"/>
      <x:c r="J305" s="43"/>
      <x:c r="K305" s="47"/>
      <x:c r="L305" s="43"/>
      <x:c r="M305" s="43"/>
    </x:row>
    <x:row r="306">
      <x:c r="A306" s="43"/>
      <x:c r="B306" s="43"/>
      <x:c r="C306" s="43"/>
      <x:c r="D306" s="45"/>
      <x:c r="E306" s="43"/>
      <x:c r="F306" s="43"/>
      <x:c r="G306" s="43"/>
      <x:c r="H306" s="43"/>
      <x:c r="I306" s="43"/>
      <x:c r="J306" s="43"/>
      <x:c r="K306" s="47"/>
      <x:c r="L306" s="43"/>
      <x:c r="M306" s="43"/>
    </x:row>
    <x:row r="307">
      <x:c r="A307" s="43"/>
      <x:c r="B307" s="43"/>
      <x:c r="C307" s="43"/>
      <x:c r="D307" s="45"/>
      <x:c r="E307" s="43"/>
      <x:c r="F307" s="43"/>
      <x:c r="G307" s="43"/>
      <x:c r="H307" s="43"/>
      <x:c r="I307" s="43"/>
      <x:c r="J307" s="43"/>
      <x:c r="K307" s="47"/>
      <x:c r="L307" s="43"/>
      <x:c r="M307" s="43"/>
    </x:row>
    <x:row r="308">
      <x:c r="A308" s="43"/>
      <x:c r="B308" s="43"/>
      <x:c r="C308" s="43"/>
      <x:c r="D308" s="45"/>
      <x:c r="E308" s="43"/>
      <x:c r="F308" s="43"/>
      <x:c r="G308" s="43"/>
      <x:c r="H308" s="43"/>
      <x:c r="I308" s="43"/>
      <x:c r="J308" s="43"/>
      <x:c r="K308" s="47"/>
      <x:c r="L308" s="43"/>
      <x:c r="M308" s="43"/>
    </x:row>
    <x:row r="309">
      <x:c r="A309" s="43"/>
      <x:c r="B309" s="43"/>
      <x:c r="C309" s="43"/>
      <x:c r="D309" s="45"/>
      <x:c r="E309" s="43"/>
      <x:c r="F309" s="43"/>
      <x:c r="G309" s="43"/>
      <x:c r="H309" s="43"/>
      <x:c r="I309" s="43"/>
      <x:c r="J309" s="43"/>
      <x:c r="K309" s="47"/>
      <x:c r="L309" s="43"/>
      <x:c r="M309" s="43"/>
    </x:row>
    <x:row r="310">
      <x:c r="A310" s="43"/>
      <x:c r="B310" s="43"/>
      <x:c r="C310" s="43"/>
      <x:c r="D310" s="45"/>
      <x:c r="E310" s="43"/>
      <x:c r="F310" s="43"/>
      <x:c r="G310" s="43"/>
      <x:c r="H310" s="43"/>
      <x:c r="I310" s="43"/>
      <x:c r="J310" s="43"/>
      <x:c r="K310" s="47"/>
      <x:c r="L310" s="43"/>
      <x:c r="M310" s="43"/>
    </x:row>
    <x:row r="311">
      <x:c r="A311" s="43"/>
      <x:c r="B311" s="43"/>
      <x:c r="C311" s="43"/>
      <x:c r="D311" s="45"/>
      <x:c r="E311" s="43"/>
      <x:c r="F311" s="43"/>
      <x:c r="G311" s="43"/>
      <x:c r="H311" s="43"/>
      <x:c r="I311" s="43"/>
      <x:c r="J311" s="43"/>
      <x:c r="K311" s="47"/>
      <x:c r="L311" s="43"/>
      <x:c r="M311" s="43"/>
    </x:row>
    <x:row r="312">
      <x:c r="A312" s="43"/>
      <x:c r="B312" s="43"/>
      <x:c r="C312" s="43"/>
      <x:c r="D312" s="45"/>
      <x:c r="E312" s="43"/>
      <x:c r="F312" s="43"/>
      <x:c r="G312" s="43"/>
      <x:c r="H312" s="43"/>
      <x:c r="I312" s="43"/>
      <x:c r="J312" s="43"/>
      <x:c r="K312" s="47"/>
      <x:c r="L312" s="43"/>
      <x:c r="M312" s="43"/>
    </x:row>
    <x:row r="313">
      <x:c r="A313" s="43"/>
      <x:c r="B313" s="43"/>
      <x:c r="C313" s="43"/>
      <x:c r="D313" s="45"/>
      <x:c r="E313" s="43"/>
      <x:c r="F313" s="43"/>
      <x:c r="G313" s="43"/>
      <x:c r="H313" s="43"/>
      <x:c r="I313" s="43"/>
      <x:c r="J313" s="43"/>
      <x:c r="K313" s="47"/>
      <x:c r="L313" s="43"/>
      <x:c r="M313" s="43"/>
    </x:row>
    <x:row r="314">
      <x:c r="A314" s="43"/>
      <x:c r="B314" s="43"/>
      <x:c r="C314" s="43"/>
      <x:c r="D314" s="45"/>
      <x:c r="E314" s="43"/>
      <x:c r="F314" s="43"/>
      <x:c r="G314" s="43"/>
      <x:c r="H314" s="43"/>
      <x:c r="I314" s="43"/>
      <x:c r="J314" s="43"/>
      <x:c r="K314" s="47"/>
      <x:c r="L314" s="43"/>
      <x:c r="M314" s="43"/>
    </x:row>
    <x:row r="315">
      <x:c r="A315" s="43"/>
      <x:c r="B315" s="43"/>
      <x:c r="C315" s="43"/>
      <x:c r="D315" s="45"/>
      <x:c r="E315" s="43"/>
      <x:c r="F315" s="43"/>
      <x:c r="G315" s="43"/>
      <x:c r="H315" s="43"/>
      <x:c r="I315" s="43"/>
      <x:c r="J315" s="43"/>
      <x:c r="K315" s="47"/>
      <x:c r="L315" s="43"/>
      <x:c r="M315" s="43"/>
    </x:row>
    <x:row r="316">
      <x:c r="A316" s="43"/>
      <x:c r="B316" s="43"/>
      <x:c r="C316" s="43"/>
      <x:c r="D316" s="45"/>
      <x:c r="E316" s="43"/>
      <x:c r="F316" s="43"/>
      <x:c r="G316" s="43"/>
      <x:c r="H316" s="43"/>
      <x:c r="I316" s="43"/>
      <x:c r="J316" s="43"/>
      <x:c r="K316" s="47"/>
      <x:c r="L316" s="43"/>
      <x:c r="M316" s="43"/>
    </x:row>
    <x:row r="317">
      <x:c r="A317" s="43"/>
      <x:c r="B317" s="43"/>
      <x:c r="C317" s="43"/>
      <x:c r="D317" s="45"/>
      <x:c r="E317" s="43"/>
      <x:c r="F317" s="43"/>
      <x:c r="G317" s="43"/>
      <x:c r="H317" s="43"/>
      <x:c r="I317" s="43"/>
      <x:c r="J317" s="43"/>
      <x:c r="K317" s="47"/>
      <x:c r="L317" s="43"/>
      <x:c r="M317" s="43"/>
    </x:row>
    <x:row r="318">
      <x:c r="A318" s="43"/>
      <x:c r="B318" s="43"/>
      <x:c r="C318" s="43"/>
      <x:c r="D318" s="45"/>
      <x:c r="E318" s="43"/>
      <x:c r="F318" s="43"/>
      <x:c r="G318" s="43"/>
      <x:c r="H318" s="43"/>
      <x:c r="I318" s="43"/>
      <x:c r="J318" s="43"/>
      <x:c r="K318" s="47"/>
      <x:c r="L318" s="43"/>
      <x:c r="M318" s="43"/>
    </x:row>
    <x:row r="319">
      <x:c r="A319" s="43"/>
      <x:c r="B319" s="43"/>
      <x:c r="C319" s="43"/>
      <x:c r="D319" s="45"/>
      <x:c r="E319" s="43"/>
      <x:c r="F319" s="43"/>
      <x:c r="G319" s="43"/>
      <x:c r="H319" s="43"/>
      <x:c r="I319" s="43"/>
      <x:c r="J319" s="43"/>
      <x:c r="K319" s="47"/>
      <x:c r="L319" s="43"/>
      <x:c r="M319" s="43"/>
    </x:row>
    <x:row r="320">
      <x:c r="A320" s="43"/>
      <x:c r="B320" s="43"/>
      <x:c r="C320" s="43"/>
      <x:c r="D320" s="45"/>
      <x:c r="E320" s="43"/>
      <x:c r="F320" s="43"/>
      <x:c r="G320" s="43"/>
      <x:c r="H320" s="43"/>
      <x:c r="I320" s="43"/>
      <x:c r="J320" s="43"/>
      <x:c r="K320" s="47"/>
      <x:c r="L320" s="43"/>
      <x:c r="M320" s="43"/>
    </x:row>
    <x:row r="321">
      <x:c r="A321" s="43"/>
      <x:c r="B321" s="43"/>
      <x:c r="C321" s="43"/>
      <x:c r="D321" s="45"/>
      <x:c r="E321" s="43"/>
      <x:c r="F321" s="43"/>
      <x:c r="G321" s="43"/>
      <x:c r="H321" s="43"/>
      <x:c r="I321" s="43"/>
      <x:c r="J321" s="43"/>
      <x:c r="K321" s="47"/>
      <x:c r="L321" s="43"/>
      <x:c r="M321" s="43"/>
    </x:row>
    <x:row r="322">
      <x:c r="A322" s="43"/>
      <x:c r="B322" s="43"/>
      <x:c r="C322" s="43"/>
      <x:c r="D322" s="45"/>
      <x:c r="E322" s="43"/>
      <x:c r="F322" s="43"/>
      <x:c r="G322" s="43"/>
      <x:c r="H322" s="43"/>
      <x:c r="I322" s="43"/>
      <x:c r="J322" s="43"/>
      <x:c r="K322" s="47"/>
      <x:c r="L322" s="43"/>
      <x:c r="M322" s="43"/>
    </x:row>
    <x:row r="323">
      <x:c r="A323" s="43"/>
      <x:c r="B323" s="43"/>
      <x:c r="C323" s="43"/>
      <x:c r="D323" s="45"/>
      <x:c r="E323" s="43"/>
      <x:c r="F323" s="43"/>
      <x:c r="G323" s="43"/>
      <x:c r="H323" s="43"/>
      <x:c r="I323" s="43"/>
      <x:c r="J323" s="43"/>
      <x:c r="K323" s="47"/>
      <x:c r="L323" s="43"/>
      <x:c r="M323" s="43"/>
    </x:row>
    <x:row r="324">
      <x:c r="A324" s="43"/>
      <x:c r="B324" s="43"/>
      <x:c r="C324" s="43"/>
      <x:c r="D324" s="45"/>
      <x:c r="E324" s="43"/>
      <x:c r="F324" s="43"/>
      <x:c r="G324" s="43"/>
      <x:c r="H324" s="43"/>
      <x:c r="I324" s="43"/>
      <x:c r="J324" s="43"/>
      <x:c r="K324" s="47"/>
      <x:c r="L324" s="43"/>
      <x:c r="M324" s="43"/>
    </x:row>
    <x:row r="325">
      <x:c r="A325" s="43"/>
      <x:c r="B325" s="43"/>
      <x:c r="C325" s="43"/>
      <x:c r="D325" s="45"/>
      <x:c r="E325" s="43"/>
      <x:c r="F325" s="43"/>
      <x:c r="G325" s="43"/>
      <x:c r="H325" s="43"/>
      <x:c r="I325" s="43"/>
      <x:c r="J325" s="43"/>
      <x:c r="K325" s="47"/>
      <x:c r="L325" s="43"/>
      <x:c r="M325" s="43"/>
    </x:row>
    <x:row r="326">
      <x:c r="A326" s="43"/>
      <x:c r="B326" s="43"/>
      <x:c r="C326" s="43"/>
      <x:c r="D326" s="45"/>
      <x:c r="E326" s="43"/>
      <x:c r="F326" s="43"/>
      <x:c r="G326" s="43"/>
      <x:c r="H326" s="43"/>
      <x:c r="I326" s="43"/>
      <x:c r="J326" s="43"/>
      <x:c r="K326" s="47"/>
      <x:c r="L326" s="43"/>
      <x:c r="M326" s="43"/>
    </x:row>
    <x:row r="327">
      <x:c r="A327" s="43"/>
      <x:c r="B327" s="43"/>
      <x:c r="C327" s="43"/>
      <x:c r="D327" s="45"/>
      <x:c r="E327" s="43"/>
      <x:c r="F327" s="43"/>
      <x:c r="G327" s="43"/>
      <x:c r="H327" s="43"/>
      <x:c r="I327" s="43"/>
      <x:c r="J327" s="43"/>
      <x:c r="K327" s="47"/>
      <x:c r="L327" s="43"/>
      <x:c r="M327" s="43"/>
    </x:row>
    <x:row r="328">
      <x:c r="A328" s="43"/>
      <x:c r="B328" s="43"/>
      <x:c r="C328" s="43"/>
      <x:c r="D328" s="45"/>
      <x:c r="E328" s="43"/>
      <x:c r="F328" s="43"/>
      <x:c r="G328" s="43"/>
      <x:c r="H328" s="43"/>
      <x:c r="I328" s="43"/>
      <x:c r="J328" s="43"/>
      <x:c r="K328" s="47"/>
      <x:c r="L328" s="43"/>
      <x:c r="M328" s="43"/>
    </x:row>
    <x:row r="329">
      <x:c r="A329" s="43"/>
      <x:c r="B329" s="43"/>
      <x:c r="C329" s="43"/>
      <x:c r="D329" s="45"/>
      <x:c r="E329" s="43"/>
      <x:c r="F329" s="43"/>
      <x:c r="G329" s="43"/>
      <x:c r="H329" s="43"/>
      <x:c r="I329" s="43"/>
      <x:c r="J329" s="43"/>
      <x:c r="K329" s="47"/>
      <x:c r="L329" s="43"/>
      <x:c r="M329" s="43"/>
    </x:row>
    <x:row r="330">
      <x:c r="A330" s="43"/>
      <x:c r="B330" s="43"/>
      <x:c r="C330" s="43"/>
      <x:c r="D330" s="45"/>
      <x:c r="E330" s="43"/>
      <x:c r="F330" s="43"/>
      <x:c r="G330" s="43"/>
      <x:c r="H330" s="43"/>
      <x:c r="I330" s="43"/>
      <x:c r="J330" s="43"/>
      <x:c r="K330" s="47"/>
      <x:c r="L330" s="43"/>
      <x:c r="M330" s="43"/>
    </x:row>
    <x:row r="331">
      <x:c r="A331" s="43"/>
      <x:c r="B331" s="43"/>
      <x:c r="C331" s="43"/>
      <x:c r="D331" s="45"/>
      <x:c r="E331" s="43"/>
      <x:c r="F331" s="43"/>
      <x:c r="G331" s="43"/>
      <x:c r="H331" s="43"/>
      <x:c r="I331" s="43"/>
      <x:c r="J331" s="43"/>
      <x:c r="K331" s="47"/>
      <x:c r="L331" s="43"/>
      <x:c r="M331" s="43"/>
    </x:row>
    <x:row r="332">
      <x:c r="A332" s="43"/>
      <x:c r="B332" s="43"/>
      <x:c r="C332" s="43"/>
      <x:c r="D332" s="45"/>
      <x:c r="E332" s="43"/>
      <x:c r="F332" s="43"/>
      <x:c r="G332" s="43"/>
      <x:c r="H332" s="43"/>
      <x:c r="I332" s="43"/>
      <x:c r="J332" s="43"/>
      <x:c r="K332" s="47"/>
      <x:c r="L332" s="43"/>
      <x:c r="M332" s="43"/>
    </x:row>
    <x:row r="333">
      <x:c r="A333" s="43"/>
      <x:c r="B333" s="43"/>
      <x:c r="C333" s="43"/>
      <x:c r="D333" s="45"/>
      <x:c r="E333" s="43"/>
      <x:c r="F333" s="43"/>
      <x:c r="G333" s="43"/>
      <x:c r="H333" s="43"/>
      <x:c r="I333" s="43"/>
      <x:c r="J333" s="43"/>
      <x:c r="K333" s="47"/>
      <x:c r="L333" s="43"/>
      <x:c r="M333" s="43"/>
    </x:row>
    <x:row r="334">
      <x:c r="A334" s="43"/>
      <x:c r="B334" s="43"/>
      <x:c r="C334" s="43"/>
      <x:c r="D334" s="45"/>
      <x:c r="E334" s="43"/>
      <x:c r="F334" s="43"/>
      <x:c r="G334" s="43"/>
      <x:c r="H334" s="43"/>
      <x:c r="I334" s="43"/>
      <x:c r="J334" s="43"/>
      <x:c r="K334" s="47"/>
      <x:c r="L334" s="43"/>
      <x:c r="M334" s="43"/>
    </x:row>
    <x:row r="335">
      <x:c r="A335" s="43"/>
      <x:c r="B335" s="43"/>
      <x:c r="C335" s="43"/>
      <x:c r="D335" s="45"/>
      <x:c r="E335" s="43"/>
      <x:c r="F335" s="43"/>
      <x:c r="G335" s="43"/>
      <x:c r="H335" s="43"/>
      <x:c r="I335" s="43"/>
      <x:c r="J335" s="43"/>
      <x:c r="K335" s="47"/>
      <x:c r="L335" s="43"/>
      <x:c r="M335" s="43"/>
    </x:row>
    <x:row r="336">
      <x:c r="A336" s="43"/>
      <x:c r="B336" s="43"/>
      <x:c r="C336" s="43"/>
      <x:c r="D336" s="45"/>
      <x:c r="E336" s="43"/>
      <x:c r="F336" s="43"/>
      <x:c r="G336" s="43"/>
      <x:c r="H336" s="43"/>
      <x:c r="I336" s="43"/>
      <x:c r="J336" s="43"/>
      <x:c r="K336" s="47"/>
      <x:c r="L336" s="43"/>
      <x:c r="M336" s="43"/>
    </x:row>
    <x:row r="337">
      <x:c r="A337" s="43"/>
      <x:c r="B337" s="43"/>
      <x:c r="C337" s="43"/>
      <x:c r="D337" s="45"/>
      <x:c r="E337" s="43"/>
      <x:c r="F337" s="43"/>
      <x:c r="G337" s="43"/>
      <x:c r="H337" s="43"/>
      <x:c r="I337" s="43"/>
      <x:c r="J337" s="43"/>
      <x:c r="K337" s="47"/>
      <x:c r="L337" s="43"/>
      <x:c r="M337" s="43"/>
    </x:row>
    <x:row r="338">
      <x:c r="A338" s="43"/>
      <x:c r="B338" s="43"/>
      <x:c r="C338" s="43"/>
      <x:c r="D338" s="45"/>
      <x:c r="E338" s="43"/>
      <x:c r="F338" s="43"/>
      <x:c r="G338" s="43"/>
      <x:c r="H338" s="43"/>
      <x:c r="I338" s="43"/>
      <x:c r="J338" s="43"/>
      <x:c r="K338" s="47"/>
      <x:c r="L338" s="43"/>
      <x:c r="M338" s="43"/>
    </x:row>
    <x:row r="339">
      <x:c r="A339" s="43"/>
      <x:c r="B339" s="43"/>
      <x:c r="C339" s="43"/>
      <x:c r="D339" s="45"/>
      <x:c r="E339" s="43"/>
      <x:c r="F339" s="43"/>
      <x:c r="G339" s="43"/>
      <x:c r="H339" s="43"/>
      <x:c r="I339" s="43"/>
      <x:c r="J339" s="43"/>
      <x:c r="K339" s="47"/>
      <x:c r="L339" s="43"/>
      <x:c r="M339" s="43"/>
    </x:row>
    <x:row r="340">
      <x:c r="A340" s="43"/>
      <x:c r="B340" s="43"/>
      <x:c r="C340" s="43"/>
      <x:c r="D340" s="45"/>
      <x:c r="E340" s="43"/>
      <x:c r="F340" s="43"/>
      <x:c r="G340" s="43"/>
      <x:c r="H340" s="43"/>
      <x:c r="I340" s="43"/>
      <x:c r="J340" s="43"/>
      <x:c r="K340" s="47"/>
      <x:c r="L340" s="43"/>
      <x:c r="M340" s="43"/>
    </x:row>
    <x:row r="341">
      <x:c r="A341" s="43"/>
      <x:c r="B341" s="43"/>
      <x:c r="C341" s="43"/>
      <x:c r="D341" s="45"/>
      <x:c r="E341" s="43"/>
      <x:c r="F341" s="43"/>
      <x:c r="G341" s="43"/>
      <x:c r="H341" s="43"/>
      <x:c r="I341" s="43"/>
      <x:c r="J341" s="43"/>
      <x:c r="K341" s="47"/>
      <x:c r="L341" s="43"/>
      <x:c r="M341" s="43"/>
    </x:row>
    <x:row r="342">
      <x:c r="A342" s="43"/>
      <x:c r="B342" s="43"/>
      <x:c r="C342" s="43"/>
      <x:c r="D342" s="45"/>
      <x:c r="E342" s="43"/>
      <x:c r="F342" s="43"/>
      <x:c r="G342" s="43"/>
      <x:c r="H342" s="43"/>
      <x:c r="I342" s="43"/>
      <x:c r="J342" s="43"/>
      <x:c r="K342" s="47"/>
      <x:c r="L342" s="43"/>
      <x:c r="M342" s="43"/>
    </x:row>
    <x:row r="343">
      <x:c r="A343" s="43"/>
      <x:c r="B343" s="43"/>
      <x:c r="C343" s="43"/>
      <x:c r="D343" s="45"/>
      <x:c r="E343" s="43"/>
      <x:c r="F343" s="43"/>
      <x:c r="G343" s="43"/>
      <x:c r="H343" s="43"/>
      <x:c r="I343" s="43"/>
      <x:c r="J343" s="43"/>
      <x:c r="K343" s="47"/>
      <x:c r="L343" s="43"/>
      <x:c r="M343" s="43"/>
    </x:row>
    <x:row r="344">
      <x:c r="A344" s="43"/>
      <x:c r="B344" s="43"/>
      <x:c r="C344" s="43"/>
      <x:c r="D344" s="45"/>
      <x:c r="E344" s="43"/>
      <x:c r="F344" s="43"/>
      <x:c r="G344" s="43"/>
      <x:c r="H344" s="43"/>
      <x:c r="I344" s="43"/>
      <x:c r="J344" s="43"/>
      <x:c r="K344" s="47"/>
      <x:c r="L344" s="43"/>
      <x:c r="M344" s="43"/>
    </x:row>
    <x:row r="345">
      <x:c r="A345" s="43"/>
      <x:c r="B345" s="43"/>
      <x:c r="C345" s="43"/>
      <x:c r="D345" s="45"/>
      <x:c r="E345" s="43"/>
      <x:c r="F345" s="43"/>
      <x:c r="G345" s="43"/>
      <x:c r="H345" s="43"/>
      <x:c r="I345" s="43"/>
      <x:c r="J345" s="43"/>
      <x:c r="K345" s="47"/>
      <x:c r="L345" s="43"/>
      <x:c r="M345" s="43"/>
    </x:row>
    <x:row r="346">
      <x:c r="A346" s="43"/>
      <x:c r="B346" s="43"/>
      <x:c r="C346" s="43"/>
      <x:c r="D346" s="45"/>
      <x:c r="E346" s="43"/>
      <x:c r="F346" s="43"/>
      <x:c r="G346" s="43"/>
      <x:c r="H346" s="43"/>
      <x:c r="I346" s="43"/>
      <x:c r="J346" s="43"/>
      <x:c r="K346" s="47"/>
      <x:c r="L346" s="43"/>
      <x:c r="M346" s="43"/>
    </x:row>
    <x:row r="347">
      <x:c r="A347" s="43"/>
      <x:c r="B347" s="43"/>
      <x:c r="C347" s="43"/>
      <x:c r="D347" s="45"/>
      <x:c r="E347" s="43"/>
      <x:c r="F347" s="43"/>
      <x:c r="G347" s="43"/>
      <x:c r="H347" s="43"/>
      <x:c r="I347" s="43"/>
      <x:c r="J347" s="43"/>
      <x:c r="K347" s="47"/>
      <x:c r="L347" s="43"/>
      <x:c r="M347" s="43"/>
    </x:row>
    <x:row r="348">
      <x:c r="A348" s="43"/>
      <x:c r="B348" s="43"/>
      <x:c r="C348" s="43"/>
      <x:c r="D348" s="45"/>
      <x:c r="E348" s="43"/>
      <x:c r="F348" s="43"/>
      <x:c r="G348" s="43"/>
      <x:c r="H348" s="43"/>
      <x:c r="I348" s="43"/>
      <x:c r="J348" s="43"/>
      <x:c r="K348" s="47"/>
      <x:c r="L348" s="43"/>
      <x:c r="M348" s="43"/>
    </x:row>
    <x:row r="349">
      <x:c r="A349" s="43"/>
      <x:c r="B349" s="43"/>
      <x:c r="C349" s="43"/>
      <x:c r="D349" s="45"/>
      <x:c r="E349" s="43"/>
      <x:c r="F349" s="43"/>
      <x:c r="G349" s="43"/>
      <x:c r="H349" s="43"/>
      <x:c r="I349" s="43"/>
      <x:c r="J349" s="43"/>
      <x:c r="K349" s="47"/>
      <x:c r="L349" s="43"/>
      <x:c r="M349" s="43"/>
    </x:row>
    <x:row r="350">
      <x:c r="A350" s="43"/>
      <x:c r="B350" s="43"/>
      <x:c r="C350" s="43"/>
      <x:c r="D350" s="45"/>
      <x:c r="E350" s="43"/>
      <x:c r="F350" s="43"/>
      <x:c r="G350" s="43"/>
      <x:c r="H350" s="43"/>
      <x:c r="I350" s="43"/>
      <x:c r="J350" s="43"/>
      <x:c r="K350" s="47"/>
      <x:c r="L350" s="43"/>
      <x:c r="M350" s="43"/>
    </x:row>
    <x:row r="351">
      <x:c r="A351" s="43"/>
      <x:c r="B351" s="43"/>
      <x:c r="C351" s="43"/>
      <x:c r="D351" s="45"/>
      <x:c r="E351" s="43"/>
      <x:c r="F351" s="43"/>
      <x:c r="G351" s="43"/>
      <x:c r="H351" s="43"/>
      <x:c r="I351" s="43"/>
      <x:c r="J351" s="43"/>
      <x:c r="K351" s="47"/>
      <x:c r="L351" s="43"/>
      <x:c r="M351" s="43"/>
    </x:row>
    <x:row r="352">
      <x:c r="A352" s="43"/>
      <x:c r="B352" s="43"/>
      <x:c r="C352" s="43"/>
      <x:c r="D352" s="45"/>
      <x:c r="E352" s="43"/>
      <x:c r="F352" s="43"/>
      <x:c r="G352" s="43"/>
      <x:c r="H352" s="43"/>
      <x:c r="I352" s="43"/>
      <x:c r="J352" s="43"/>
      <x:c r="K352" s="47"/>
      <x:c r="L352" s="43"/>
      <x:c r="M352" s="43"/>
    </x:row>
    <x:row r="353">
      <x:c r="A353" s="43"/>
      <x:c r="B353" s="43"/>
      <x:c r="C353" s="43"/>
      <x:c r="D353" s="45"/>
      <x:c r="E353" s="43"/>
      <x:c r="F353" s="43"/>
      <x:c r="G353" s="43"/>
      <x:c r="H353" s="43"/>
      <x:c r="I353" s="43"/>
      <x:c r="J353" s="43"/>
      <x:c r="K353" s="47"/>
      <x:c r="L353" s="43"/>
      <x:c r="M353" s="43"/>
    </x:row>
    <x:row r="354">
      <x:c r="A354" s="43"/>
      <x:c r="B354" s="43"/>
      <x:c r="C354" s="43"/>
      <x:c r="D354" s="45"/>
      <x:c r="E354" s="43"/>
      <x:c r="F354" s="43"/>
      <x:c r="G354" s="43"/>
      <x:c r="H354" s="43"/>
      <x:c r="I354" s="43"/>
      <x:c r="J354" s="43"/>
      <x:c r="K354" s="47"/>
      <x:c r="L354" s="43"/>
      <x:c r="M354" s="43"/>
    </x:row>
    <x:row r="355">
      <x:c r="A355" s="43"/>
      <x:c r="B355" s="43"/>
      <x:c r="C355" s="43"/>
      <x:c r="D355" s="45"/>
      <x:c r="E355" s="43"/>
      <x:c r="F355" s="43"/>
      <x:c r="G355" s="43"/>
      <x:c r="H355" s="43"/>
      <x:c r="I355" s="43"/>
      <x:c r="J355" s="43"/>
      <x:c r="K355" s="47"/>
      <x:c r="L355" s="43"/>
      <x:c r="M355" s="43"/>
    </x:row>
    <x:row r="356">
      <x:c r="A356" s="43"/>
      <x:c r="B356" s="43"/>
      <x:c r="C356" s="43"/>
      <x:c r="D356" s="45"/>
      <x:c r="E356" s="43"/>
      <x:c r="F356" s="43"/>
      <x:c r="G356" s="43"/>
      <x:c r="H356" s="43"/>
      <x:c r="I356" s="43"/>
      <x:c r="J356" s="43"/>
      <x:c r="K356" s="47"/>
      <x:c r="L356" s="43"/>
      <x:c r="M356" s="43"/>
    </x:row>
    <x:row r="357">
      <x:c r="A357" s="43"/>
      <x:c r="B357" s="43"/>
      <x:c r="C357" s="43"/>
      <x:c r="D357" s="45"/>
      <x:c r="E357" s="43"/>
      <x:c r="F357" s="43"/>
      <x:c r="G357" s="43"/>
      <x:c r="H357" s="43"/>
      <x:c r="I357" s="43"/>
      <x:c r="J357" s="43"/>
      <x:c r="K357" s="47"/>
      <x:c r="L357" s="43"/>
      <x:c r="M357" s="43"/>
    </x:row>
    <x:row r="358">
      <x:c r="A358" s="43"/>
      <x:c r="B358" s="43"/>
      <x:c r="C358" s="43"/>
      <x:c r="D358" s="45"/>
      <x:c r="E358" s="43"/>
      <x:c r="F358" s="43"/>
      <x:c r="G358" s="43"/>
      <x:c r="H358" s="43"/>
      <x:c r="I358" s="43"/>
      <x:c r="J358" s="43"/>
      <x:c r="K358" s="47"/>
      <x:c r="L358" s="43"/>
      <x:c r="M358" s="43"/>
    </x:row>
    <x:row r="359">
      <x:c r="A359" s="43"/>
      <x:c r="B359" s="43"/>
      <x:c r="C359" s="43"/>
      <x:c r="D359" s="45"/>
      <x:c r="E359" s="43"/>
      <x:c r="F359" s="43"/>
      <x:c r="G359" s="43"/>
      <x:c r="H359" s="43"/>
      <x:c r="I359" s="43"/>
      <x:c r="J359" s="43"/>
      <x:c r="K359" s="47"/>
      <x:c r="L359" s="43"/>
      <x:c r="M359" s="43"/>
    </x:row>
    <x:row r="360">
      <x:c r="A360" s="43"/>
      <x:c r="B360" s="43"/>
      <x:c r="C360" s="43"/>
      <x:c r="D360" s="45"/>
      <x:c r="E360" s="43"/>
      <x:c r="F360" s="43"/>
      <x:c r="G360" s="43"/>
      <x:c r="H360" s="43"/>
      <x:c r="I360" s="43"/>
      <x:c r="J360" s="43"/>
      <x:c r="K360" s="47"/>
      <x:c r="L360" s="43"/>
      <x:c r="M360" s="43"/>
    </x:row>
    <x:row r="361">
      <x:c r="A361" s="43"/>
      <x:c r="B361" s="43"/>
      <x:c r="C361" s="43"/>
      <x:c r="D361" s="45"/>
      <x:c r="E361" s="43"/>
      <x:c r="F361" s="43"/>
      <x:c r="G361" s="43"/>
      <x:c r="H361" s="43"/>
      <x:c r="I361" s="43"/>
      <x:c r="J361" s="43"/>
      <x:c r="K361" s="47"/>
      <x:c r="L361" s="43"/>
      <x:c r="M361" s="43"/>
    </x:row>
    <x:row r="362">
      <x:c r="A362" s="43"/>
      <x:c r="B362" s="43"/>
      <x:c r="C362" s="43"/>
      <x:c r="D362" s="45"/>
      <x:c r="E362" s="43"/>
      <x:c r="F362" s="43"/>
      <x:c r="G362" s="43"/>
      <x:c r="H362" s="43"/>
      <x:c r="I362" s="43"/>
      <x:c r="J362" s="43"/>
      <x:c r="K362" s="47"/>
      <x:c r="L362" s="43"/>
      <x:c r="M362" s="43"/>
    </x:row>
    <x:row r="363">
      <x:c r="A363" s="43"/>
      <x:c r="B363" s="43"/>
      <x:c r="C363" s="43"/>
      <x:c r="D363" s="45"/>
      <x:c r="E363" s="43"/>
      <x:c r="F363" s="43"/>
      <x:c r="G363" s="43"/>
      <x:c r="H363" s="43"/>
      <x:c r="I363" s="43"/>
      <x:c r="J363" s="43"/>
      <x:c r="K363" s="47"/>
      <x:c r="L363" s="43"/>
      <x:c r="M363" s="43"/>
    </x:row>
    <x:row r="364">
      <x:c r="A364" s="43"/>
      <x:c r="B364" s="43"/>
      <x:c r="C364" s="43"/>
      <x:c r="D364" s="45"/>
      <x:c r="E364" s="43"/>
      <x:c r="F364" s="43"/>
      <x:c r="G364" s="43"/>
      <x:c r="H364" s="43"/>
      <x:c r="I364" s="43"/>
      <x:c r="J364" s="43"/>
      <x:c r="K364" s="47"/>
      <x:c r="L364" s="43"/>
      <x:c r="M364" s="43"/>
    </x:row>
    <x:row r="365">
      <x:c r="A365" s="43"/>
      <x:c r="B365" s="43"/>
      <x:c r="C365" s="43"/>
      <x:c r="D365" s="45"/>
      <x:c r="E365" s="43"/>
      <x:c r="F365" s="43"/>
      <x:c r="G365" s="43"/>
      <x:c r="H365" s="43"/>
      <x:c r="I365" s="43"/>
      <x:c r="J365" s="43"/>
      <x:c r="K365" s="47"/>
      <x:c r="L365" s="43"/>
      <x:c r="M365" s="43"/>
    </x:row>
    <x:row r="366">
      <x:c r="A366" s="43"/>
      <x:c r="B366" s="43"/>
      <x:c r="C366" s="43"/>
      <x:c r="D366" s="45"/>
      <x:c r="E366" s="43"/>
      <x:c r="F366" s="43"/>
      <x:c r="G366" s="43"/>
      <x:c r="H366" s="43"/>
      <x:c r="I366" s="43"/>
      <x:c r="J366" s="43"/>
      <x:c r="K366" s="47"/>
      <x:c r="L366" s="43"/>
      <x:c r="M366" s="43"/>
    </x:row>
    <x:row r="367">
      <x:c r="A367" s="43"/>
      <x:c r="B367" s="43"/>
      <x:c r="C367" s="43"/>
      <x:c r="D367" s="45"/>
      <x:c r="E367" s="43"/>
      <x:c r="F367" s="43"/>
      <x:c r="G367" s="43"/>
      <x:c r="H367" s="43"/>
      <x:c r="I367" s="43"/>
      <x:c r="J367" s="43"/>
      <x:c r="K367" s="47"/>
      <x:c r="L367" s="43"/>
      <x:c r="M367" s="43"/>
    </x:row>
    <x:row r="368">
      <x:c r="A368" s="43"/>
      <x:c r="B368" s="43"/>
      <x:c r="C368" s="43"/>
      <x:c r="D368" s="45"/>
      <x:c r="E368" s="43"/>
      <x:c r="F368" s="43"/>
      <x:c r="G368" s="43"/>
      <x:c r="H368" s="43"/>
      <x:c r="I368" s="43"/>
      <x:c r="J368" s="43"/>
      <x:c r="K368" s="47"/>
      <x:c r="L368" s="43"/>
      <x:c r="M368" s="43"/>
    </x:row>
    <x:row r="369">
      <x:c r="A369" s="43"/>
      <x:c r="B369" s="43"/>
      <x:c r="C369" s="43"/>
      <x:c r="D369" s="45"/>
      <x:c r="E369" s="43"/>
      <x:c r="F369" s="43"/>
      <x:c r="G369" s="43"/>
      <x:c r="H369" s="43"/>
      <x:c r="I369" s="43"/>
      <x:c r="J369" s="43"/>
      <x:c r="K369" s="47"/>
      <x:c r="L369" s="43"/>
      <x:c r="M369" s="43"/>
    </x:row>
    <x:row r="370">
      <x:c r="A370" s="43"/>
      <x:c r="B370" s="43"/>
      <x:c r="C370" s="43"/>
      <x:c r="D370" s="45"/>
      <x:c r="E370" s="43"/>
      <x:c r="F370" s="43"/>
      <x:c r="G370" s="43"/>
      <x:c r="H370" s="43"/>
      <x:c r="I370" s="43"/>
      <x:c r="J370" s="43"/>
      <x:c r="K370" s="47"/>
      <x:c r="L370" s="43"/>
      <x:c r="M370" s="43"/>
    </x:row>
    <x:row r="371">
      <x:c r="A371" s="43"/>
      <x:c r="B371" s="43"/>
      <x:c r="C371" s="43"/>
      <x:c r="D371" s="45"/>
      <x:c r="E371" s="43"/>
      <x:c r="F371" s="43"/>
      <x:c r="G371" s="43"/>
      <x:c r="H371" s="43"/>
      <x:c r="I371" s="43"/>
      <x:c r="J371" s="43"/>
      <x:c r="K371" s="47"/>
      <x:c r="L371" s="43"/>
      <x:c r="M371" s="43"/>
    </x:row>
    <x:row r="372">
      <x:c r="A372" s="43"/>
      <x:c r="B372" s="43"/>
      <x:c r="C372" s="43"/>
      <x:c r="D372" s="45"/>
      <x:c r="E372" s="43"/>
      <x:c r="F372" s="43"/>
      <x:c r="G372" s="43"/>
      <x:c r="H372" s="43"/>
      <x:c r="I372" s="43"/>
      <x:c r="J372" s="43"/>
      <x:c r="K372" s="47"/>
      <x:c r="L372" s="43"/>
      <x:c r="M372" s="43"/>
    </x:row>
    <x:row r="373">
      <x:c r="A373" s="43"/>
      <x:c r="B373" s="43"/>
      <x:c r="C373" s="43"/>
      <x:c r="D373" s="45"/>
      <x:c r="E373" s="43"/>
      <x:c r="F373" s="43"/>
      <x:c r="G373" s="43"/>
      <x:c r="H373" s="43"/>
      <x:c r="I373" s="43"/>
      <x:c r="J373" s="43"/>
      <x:c r="K373" s="47"/>
      <x:c r="L373" s="43"/>
      <x:c r="M373" s="43"/>
    </x:row>
    <x:row r="374">
      <x:c r="A374" s="43"/>
      <x:c r="B374" s="43"/>
      <x:c r="C374" s="43"/>
      <x:c r="D374" s="45"/>
      <x:c r="E374" s="43"/>
      <x:c r="F374" s="43"/>
      <x:c r="G374" s="43"/>
      <x:c r="H374" s="43"/>
      <x:c r="I374" s="43"/>
      <x:c r="J374" s="43"/>
      <x:c r="K374" s="47"/>
      <x:c r="L374" s="43"/>
      <x:c r="M374" s="43"/>
    </x:row>
    <x:row r="375">
      <x:c r="A375" s="43"/>
      <x:c r="B375" s="43"/>
      <x:c r="C375" s="43"/>
      <x:c r="D375" s="45"/>
      <x:c r="E375" s="43"/>
      <x:c r="F375" s="43"/>
      <x:c r="G375" s="43"/>
      <x:c r="H375" s="43"/>
      <x:c r="I375" s="43"/>
      <x:c r="J375" s="43"/>
      <x:c r="K375" s="47"/>
      <x:c r="L375" s="43"/>
      <x:c r="M375" s="43"/>
    </x:row>
    <x:row r="376">
      <x:c r="A376" s="43"/>
      <x:c r="B376" s="43"/>
      <x:c r="C376" s="43"/>
      <x:c r="D376" s="45"/>
      <x:c r="E376" s="43"/>
      <x:c r="F376" s="43"/>
      <x:c r="G376" s="43"/>
      <x:c r="H376" s="43"/>
      <x:c r="I376" s="43"/>
      <x:c r="J376" s="43"/>
      <x:c r="K376" s="47"/>
      <x:c r="L376" s="43"/>
      <x:c r="M376" s="43"/>
    </x:row>
    <x:row r="377">
      <x:c r="A377" s="43"/>
      <x:c r="B377" s="43"/>
      <x:c r="C377" s="43"/>
      <x:c r="D377" s="45"/>
      <x:c r="E377" s="43"/>
      <x:c r="F377" s="43"/>
      <x:c r="G377" s="43"/>
      <x:c r="H377" s="43"/>
      <x:c r="I377" s="43"/>
      <x:c r="J377" s="43"/>
      <x:c r="K377" s="47"/>
      <x:c r="L377" s="43"/>
      <x:c r="M377" s="43"/>
    </x:row>
    <x:row r="378">
      <x:c r="A378" s="43"/>
      <x:c r="B378" s="43"/>
      <x:c r="C378" s="43"/>
      <x:c r="D378" s="45"/>
      <x:c r="E378" s="43"/>
      <x:c r="F378" s="43"/>
      <x:c r="G378" s="43"/>
      <x:c r="H378" s="43"/>
      <x:c r="I378" s="43"/>
      <x:c r="J378" s="43"/>
      <x:c r="K378" s="47"/>
      <x:c r="L378" s="43"/>
      <x:c r="M378" s="43"/>
    </x:row>
    <x:row r="379">
      <x:c r="A379" s="43"/>
      <x:c r="B379" s="43"/>
      <x:c r="C379" s="43"/>
      <x:c r="D379" s="45"/>
      <x:c r="E379" s="43"/>
      <x:c r="F379" s="43"/>
      <x:c r="G379" s="43"/>
      <x:c r="H379" s="43"/>
      <x:c r="I379" s="43"/>
      <x:c r="J379" s="43"/>
      <x:c r="K379" s="47"/>
      <x:c r="L379" s="43"/>
      <x:c r="M379" s="43"/>
    </x:row>
    <x:row r="380">
      <x:c r="A380" s="43"/>
      <x:c r="B380" s="43"/>
      <x:c r="C380" s="43"/>
      <x:c r="D380" s="45"/>
      <x:c r="E380" s="43"/>
      <x:c r="F380" s="43"/>
      <x:c r="G380" s="43"/>
      <x:c r="H380" s="43"/>
      <x:c r="I380" s="43"/>
      <x:c r="J380" s="43"/>
      <x:c r="K380" s="47"/>
      <x:c r="L380" s="43"/>
      <x:c r="M380" s="43"/>
    </x:row>
    <x:row r="381">
      <x:c r="A381" s="43"/>
      <x:c r="B381" s="43"/>
      <x:c r="C381" s="43"/>
      <x:c r="D381" s="45"/>
      <x:c r="E381" s="43"/>
      <x:c r="F381" s="43"/>
      <x:c r="G381" s="43"/>
      <x:c r="H381" s="43"/>
      <x:c r="I381" s="43"/>
      <x:c r="J381" s="43"/>
      <x:c r="K381" s="47"/>
      <x:c r="L381" s="43"/>
      <x:c r="M381" s="43"/>
    </x:row>
    <x:row r="382">
      <x:c r="A382" s="43"/>
      <x:c r="B382" s="43"/>
      <x:c r="C382" s="43"/>
      <x:c r="D382" s="45"/>
      <x:c r="E382" s="43"/>
      <x:c r="F382" s="43"/>
      <x:c r="G382" s="43"/>
      <x:c r="H382" s="43"/>
      <x:c r="I382" s="43"/>
      <x:c r="J382" s="43"/>
      <x:c r="K382" s="47"/>
      <x:c r="L382" s="43"/>
      <x:c r="M382" s="43"/>
    </x:row>
    <x:row r="383">
      <x:c r="A383" s="43"/>
      <x:c r="B383" s="43"/>
      <x:c r="C383" s="43"/>
      <x:c r="D383" s="45"/>
      <x:c r="E383" s="43"/>
      <x:c r="F383" s="43"/>
      <x:c r="G383" s="43"/>
      <x:c r="H383" s="43"/>
      <x:c r="I383" s="43"/>
      <x:c r="J383" s="43"/>
      <x:c r="K383" s="47"/>
      <x:c r="L383" s="43"/>
      <x:c r="M383" s="43"/>
    </x:row>
    <x:row r="384">
      <x:c r="A384" s="43"/>
      <x:c r="B384" s="43"/>
      <x:c r="C384" s="43"/>
      <x:c r="D384" s="45"/>
      <x:c r="E384" s="43"/>
      <x:c r="F384" s="43"/>
      <x:c r="G384" s="43"/>
      <x:c r="H384" s="43"/>
      <x:c r="I384" s="43"/>
      <x:c r="J384" s="43"/>
      <x:c r="K384" s="47"/>
      <x:c r="L384" s="43"/>
      <x:c r="M384" s="43"/>
    </x:row>
    <x:row r="385">
      <x:c r="A385" s="43"/>
      <x:c r="B385" s="43"/>
      <x:c r="C385" s="43"/>
      <x:c r="D385" s="45"/>
      <x:c r="E385" s="43"/>
      <x:c r="F385" s="43"/>
      <x:c r="G385" s="43"/>
      <x:c r="H385" s="43"/>
      <x:c r="I385" s="43"/>
      <x:c r="J385" s="43"/>
      <x:c r="K385" s="47"/>
      <x:c r="L385" s="43"/>
      <x:c r="M385" s="43"/>
    </x:row>
    <x:row r="386">
      <x:c r="A386" s="43"/>
      <x:c r="B386" s="43"/>
      <x:c r="C386" s="43"/>
      <x:c r="D386" s="45"/>
      <x:c r="E386" s="43"/>
      <x:c r="F386" s="43"/>
      <x:c r="G386" s="43"/>
      <x:c r="H386" s="43"/>
      <x:c r="I386" s="43"/>
      <x:c r="J386" s="43"/>
      <x:c r="K386" s="47"/>
      <x:c r="L386" s="43"/>
      <x:c r="M386" s="43"/>
    </x:row>
    <x:row r="387">
      <x:c r="A387" s="43"/>
      <x:c r="B387" s="43"/>
      <x:c r="C387" s="43"/>
      <x:c r="D387" s="45"/>
      <x:c r="E387" s="43"/>
      <x:c r="F387" s="43"/>
      <x:c r="G387" s="43"/>
      <x:c r="H387" s="43"/>
      <x:c r="I387" s="43"/>
      <x:c r="J387" s="43"/>
      <x:c r="K387" s="47"/>
      <x:c r="L387" s="43"/>
      <x:c r="M387" s="43"/>
    </x:row>
    <x:row r="388">
      <x:c r="A388" s="43"/>
      <x:c r="B388" s="43"/>
      <x:c r="C388" s="43"/>
      <x:c r="D388" s="45"/>
      <x:c r="E388" s="43"/>
      <x:c r="F388" s="43"/>
      <x:c r="G388" s="43"/>
      <x:c r="H388" s="43"/>
      <x:c r="I388" s="43"/>
      <x:c r="J388" s="43"/>
      <x:c r="K388" s="47"/>
      <x:c r="L388" s="43"/>
      <x:c r="M388" s="43"/>
    </x:row>
    <x:row r="389">
      <x:c r="A389" s="43"/>
      <x:c r="B389" s="43"/>
      <x:c r="C389" s="43"/>
      <x:c r="D389" s="45"/>
      <x:c r="E389" s="43"/>
      <x:c r="F389" s="43"/>
      <x:c r="G389" s="43"/>
      <x:c r="H389" s="43"/>
      <x:c r="I389" s="43"/>
      <x:c r="J389" s="43"/>
      <x:c r="K389" s="47"/>
      <x:c r="L389" s="43"/>
      <x:c r="M389" s="43"/>
    </x:row>
    <x:row r="390">
      <x:c r="A390" s="43"/>
      <x:c r="B390" s="43"/>
      <x:c r="C390" s="43"/>
      <x:c r="D390" s="45"/>
      <x:c r="E390" s="43"/>
      <x:c r="F390" s="43"/>
      <x:c r="G390" s="43"/>
      <x:c r="H390" s="43"/>
      <x:c r="I390" s="43"/>
      <x:c r="J390" s="43"/>
      <x:c r="K390" s="47"/>
      <x:c r="L390" s="43"/>
      <x:c r="M390" s="43"/>
    </x:row>
    <x:row r="391">
      <x:c r="A391" s="43"/>
      <x:c r="B391" s="43"/>
      <x:c r="C391" s="43"/>
      <x:c r="D391" s="45"/>
      <x:c r="E391" s="43"/>
      <x:c r="F391" s="43"/>
      <x:c r="G391" s="43"/>
      <x:c r="H391" s="43"/>
      <x:c r="I391" s="43"/>
      <x:c r="J391" s="43"/>
      <x:c r="K391" s="47"/>
      <x:c r="L391" s="43"/>
      <x:c r="M391" s="43"/>
    </x:row>
    <x:row r="392">
      <x:c r="A392" s="43"/>
      <x:c r="B392" s="43"/>
      <x:c r="C392" s="43"/>
      <x:c r="D392" s="45"/>
      <x:c r="E392" s="43"/>
      <x:c r="F392" s="43"/>
      <x:c r="G392" s="43"/>
      <x:c r="H392" s="43"/>
      <x:c r="I392" s="43"/>
      <x:c r="J392" s="43"/>
      <x:c r="K392" s="47"/>
      <x:c r="L392" s="43"/>
      <x:c r="M392" s="43"/>
    </x:row>
    <x:row r="393">
      <x:c r="A393" s="43"/>
      <x:c r="B393" s="43"/>
      <x:c r="C393" s="43"/>
      <x:c r="D393" s="45"/>
      <x:c r="E393" s="43"/>
      <x:c r="F393" s="43"/>
      <x:c r="G393" s="43"/>
      <x:c r="H393" s="43"/>
      <x:c r="I393" s="43"/>
      <x:c r="J393" s="43"/>
      <x:c r="K393" s="47"/>
      <x:c r="L393" s="43"/>
      <x:c r="M393" s="43"/>
    </x:row>
    <x:row r="394">
      <x:c r="A394" s="43"/>
      <x:c r="B394" s="43"/>
      <x:c r="C394" s="43"/>
      <x:c r="D394" s="45"/>
      <x:c r="E394" s="43"/>
      <x:c r="F394" s="43"/>
      <x:c r="G394" s="43"/>
      <x:c r="H394" s="43"/>
      <x:c r="I394" s="43"/>
      <x:c r="J394" s="43"/>
      <x:c r="K394" s="47"/>
      <x:c r="L394" s="43"/>
      <x:c r="M394" s="43"/>
    </x:row>
    <x:row r="395">
      <x:c r="A395" s="43"/>
      <x:c r="B395" s="43"/>
      <x:c r="C395" s="43"/>
      <x:c r="D395" s="45"/>
      <x:c r="E395" s="43"/>
      <x:c r="F395" s="43"/>
      <x:c r="G395" s="43"/>
      <x:c r="H395" s="43"/>
      <x:c r="I395" s="43"/>
      <x:c r="J395" s="43"/>
      <x:c r="K395" s="47"/>
      <x:c r="L395" s="43"/>
      <x:c r="M395" s="43"/>
    </x:row>
    <x:row r="396">
      <x:c r="A396" s="43"/>
      <x:c r="B396" s="43"/>
      <x:c r="C396" s="43"/>
      <x:c r="D396" s="45"/>
      <x:c r="E396" s="43"/>
      <x:c r="F396" s="43"/>
      <x:c r="G396" s="43"/>
      <x:c r="H396" s="43"/>
      <x:c r="I396" s="43"/>
      <x:c r="J396" s="43"/>
      <x:c r="K396" s="47"/>
      <x:c r="L396" s="43"/>
      <x:c r="M396" s="43"/>
    </x:row>
    <x:row r="397">
      <x:c r="A397" s="43"/>
      <x:c r="B397" s="43"/>
      <x:c r="C397" s="43"/>
      <x:c r="D397" s="45"/>
      <x:c r="E397" s="43"/>
      <x:c r="F397" s="43"/>
      <x:c r="G397" s="43"/>
      <x:c r="H397" s="43"/>
      <x:c r="I397" s="43"/>
      <x:c r="J397" s="43"/>
      <x:c r="K397" s="47"/>
      <x:c r="L397" s="43"/>
      <x:c r="M397" s="43"/>
    </x:row>
    <x:row r="398">
      <x:c r="A398" s="43"/>
      <x:c r="B398" s="43"/>
      <x:c r="C398" s="43"/>
      <x:c r="D398" s="45"/>
      <x:c r="E398" s="43"/>
      <x:c r="F398" s="43"/>
      <x:c r="G398" s="43"/>
      <x:c r="H398" s="43"/>
      <x:c r="I398" s="43"/>
      <x:c r="J398" s="43"/>
      <x:c r="K398" s="47"/>
      <x:c r="L398" s="43"/>
      <x:c r="M398" s="43"/>
    </x:row>
    <x:row r="399">
      <x:c r="A399" s="43"/>
      <x:c r="B399" s="43"/>
      <x:c r="C399" s="43"/>
      <x:c r="D399" s="45"/>
      <x:c r="E399" s="43"/>
      <x:c r="F399" s="43"/>
      <x:c r="G399" s="43"/>
      <x:c r="H399" s="43"/>
      <x:c r="I399" s="43"/>
      <x:c r="J399" s="43"/>
      <x:c r="K399" s="47"/>
      <x:c r="L399" s="43"/>
      <x:c r="M399" s="43"/>
    </x:row>
    <x:row r="400">
      <x:c r="A400" s="43"/>
      <x:c r="B400" s="43"/>
      <x:c r="C400" s="43"/>
      <x:c r="D400" s="45"/>
      <x:c r="E400" s="43"/>
      <x:c r="F400" s="43"/>
      <x:c r="G400" s="43"/>
      <x:c r="H400" s="43"/>
      <x:c r="I400" s="43"/>
      <x:c r="J400" s="43"/>
      <x:c r="K400" s="47"/>
      <x:c r="L400" s="43"/>
      <x:c r="M400" s="43"/>
    </x:row>
    <x:row r="401">
      <x:c r="A401" s="43"/>
      <x:c r="B401" s="43"/>
      <x:c r="C401" s="43"/>
      <x:c r="D401" s="45"/>
      <x:c r="E401" s="43"/>
      <x:c r="F401" s="43"/>
      <x:c r="G401" s="43"/>
      <x:c r="H401" s="43"/>
      <x:c r="I401" s="43"/>
      <x:c r="J401" s="43"/>
      <x:c r="K401" s="47"/>
      <x:c r="L401" s="43"/>
      <x:c r="M401" s="43"/>
    </x:row>
    <x:row r="402">
      <x:c r="A402" s="43"/>
      <x:c r="B402" s="43"/>
      <x:c r="C402" s="43"/>
      <x:c r="D402" s="45"/>
      <x:c r="E402" s="43"/>
      <x:c r="F402" s="43"/>
      <x:c r="G402" s="43"/>
      <x:c r="H402" s="43"/>
      <x:c r="I402" s="43"/>
      <x:c r="J402" s="43"/>
      <x:c r="K402" s="47"/>
      <x:c r="L402" s="43"/>
      <x:c r="M402" s="43"/>
    </x:row>
    <x:row r="403">
      <x:c r="A403" s="43"/>
      <x:c r="B403" s="43"/>
      <x:c r="C403" s="43"/>
      <x:c r="D403" s="45"/>
      <x:c r="E403" s="43"/>
      <x:c r="F403" s="43"/>
      <x:c r="G403" s="43"/>
      <x:c r="H403" s="43"/>
      <x:c r="I403" s="43"/>
      <x:c r="J403" s="43"/>
      <x:c r="K403" s="47"/>
      <x:c r="L403" s="43"/>
      <x:c r="M403" s="43"/>
    </x:row>
    <x:row r="404">
      <x:c r="A404" s="43"/>
      <x:c r="B404" s="43"/>
      <x:c r="C404" s="43"/>
      <x:c r="D404" s="45"/>
      <x:c r="E404" s="43"/>
      <x:c r="F404" s="43"/>
      <x:c r="G404" s="43"/>
      <x:c r="H404" s="43"/>
      <x:c r="I404" s="43"/>
      <x:c r="J404" s="43"/>
      <x:c r="K404" s="47"/>
      <x:c r="L404" s="43"/>
      <x:c r="M404" s="43"/>
    </x:row>
    <x:row r="405">
      <x:c r="A405" s="43"/>
      <x:c r="B405" s="43"/>
      <x:c r="C405" s="43"/>
      <x:c r="D405" s="45"/>
      <x:c r="E405" s="43"/>
      <x:c r="F405" s="43"/>
      <x:c r="G405" s="43"/>
      <x:c r="H405" s="43"/>
      <x:c r="I405" s="43"/>
      <x:c r="J405" s="43"/>
      <x:c r="K405" s="47"/>
      <x:c r="L405" s="43"/>
      <x:c r="M405" s="43"/>
    </x:row>
    <x:row r="406">
      <x:c r="A406" s="43"/>
      <x:c r="B406" s="43"/>
      <x:c r="C406" s="43"/>
      <x:c r="D406" s="45"/>
      <x:c r="E406" s="43"/>
      <x:c r="F406" s="43"/>
      <x:c r="G406" s="43"/>
      <x:c r="H406" s="43"/>
      <x:c r="I406" s="43"/>
      <x:c r="J406" s="43"/>
      <x:c r="K406" s="47"/>
      <x:c r="L406" s="43"/>
      <x:c r="M406" s="43"/>
    </x:row>
    <x:row r="407">
      <x:c r="A407" s="43"/>
      <x:c r="B407" s="43"/>
      <x:c r="C407" s="43"/>
      <x:c r="D407" s="45"/>
      <x:c r="E407" s="43"/>
      <x:c r="F407" s="43"/>
      <x:c r="G407" s="43"/>
      <x:c r="H407" s="43"/>
      <x:c r="I407" s="43"/>
      <x:c r="J407" s="43"/>
      <x:c r="K407" s="47"/>
      <x:c r="L407" s="43"/>
      <x:c r="M407" s="43"/>
    </x:row>
    <x:row r="408">
      <x:c r="A408" s="43"/>
      <x:c r="B408" s="43"/>
      <x:c r="C408" s="43"/>
      <x:c r="D408" s="45"/>
      <x:c r="E408" s="43"/>
      <x:c r="F408" s="43"/>
      <x:c r="G408" s="43"/>
      <x:c r="H408" s="43"/>
      <x:c r="I408" s="43"/>
      <x:c r="J408" s="43"/>
      <x:c r="K408" s="47"/>
      <x:c r="L408" s="43"/>
      <x:c r="M408" s="43"/>
    </x:row>
    <x:row r="409">
      <x:c r="A409" s="43"/>
      <x:c r="B409" s="43"/>
      <x:c r="C409" s="43"/>
      <x:c r="D409" s="45"/>
      <x:c r="E409" s="43"/>
      <x:c r="F409" s="43"/>
      <x:c r="G409" s="43"/>
      <x:c r="H409" s="43"/>
      <x:c r="I409" s="43"/>
      <x:c r="J409" s="43"/>
      <x:c r="K409" s="47"/>
      <x:c r="L409" s="43"/>
      <x:c r="M409" s="43"/>
    </x:row>
    <x:row r="410">
      <x:c r="A410" s="43"/>
      <x:c r="B410" s="43"/>
      <x:c r="C410" s="43"/>
      <x:c r="D410" s="45"/>
      <x:c r="E410" s="43"/>
      <x:c r="F410" s="43"/>
      <x:c r="G410" s="43"/>
      <x:c r="H410" s="43"/>
      <x:c r="I410" s="43"/>
      <x:c r="J410" s="43"/>
      <x:c r="K410" s="47"/>
      <x:c r="L410" s="43"/>
      <x:c r="M410" s="43"/>
    </x:row>
    <x:row r="411">
      <x:c r="A411" s="43"/>
      <x:c r="B411" s="43"/>
      <x:c r="C411" s="43"/>
      <x:c r="D411" s="45"/>
      <x:c r="E411" s="43"/>
      <x:c r="F411" s="43"/>
      <x:c r="G411" s="43"/>
      <x:c r="H411" s="43"/>
      <x:c r="I411" s="43"/>
      <x:c r="J411" s="43"/>
      <x:c r="K411" s="47"/>
      <x:c r="L411" s="43"/>
      <x:c r="M411" s="43"/>
    </x:row>
    <x:row r="412">
      <x:c r="A412" s="43"/>
      <x:c r="B412" s="43"/>
      <x:c r="C412" s="43"/>
      <x:c r="D412" s="45"/>
      <x:c r="E412" s="43"/>
      <x:c r="F412" s="43"/>
      <x:c r="G412" s="43"/>
      <x:c r="H412" s="43"/>
      <x:c r="I412" s="43"/>
      <x:c r="J412" s="43"/>
      <x:c r="K412" s="47"/>
      <x:c r="L412" s="43"/>
      <x:c r="M412" s="43"/>
    </x:row>
    <x:row r="413">
      <x:c r="A413" s="43"/>
      <x:c r="B413" s="43"/>
      <x:c r="C413" s="43"/>
      <x:c r="D413" s="45"/>
      <x:c r="E413" s="43"/>
      <x:c r="F413" s="43"/>
      <x:c r="G413" s="43"/>
      <x:c r="H413" s="43"/>
      <x:c r="I413" s="43"/>
      <x:c r="J413" s="43"/>
      <x:c r="K413" s="47"/>
      <x:c r="L413" s="43"/>
      <x:c r="M413" s="43"/>
    </x:row>
    <x:row r="414">
      <x:c r="A414" s="43"/>
      <x:c r="B414" s="43"/>
      <x:c r="C414" s="43"/>
      <x:c r="D414" s="45"/>
      <x:c r="E414" s="43"/>
      <x:c r="F414" s="43"/>
      <x:c r="G414" s="43"/>
      <x:c r="H414" s="43"/>
      <x:c r="I414" s="43"/>
      <x:c r="J414" s="43"/>
      <x:c r="K414" s="47"/>
      <x:c r="L414" s="43"/>
      <x:c r="M414" s="43"/>
    </x:row>
    <x:row r="415">
      <x:c r="A415" s="43"/>
      <x:c r="B415" s="43"/>
      <x:c r="C415" s="43"/>
      <x:c r="D415" s="45"/>
      <x:c r="E415" s="43"/>
      <x:c r="F415" s="43"/>
      <x:c r="G415" s="43"/>
      <x:c r="H415" s="43"/>
      <x:c r="I415" s="43"/>
      <x:c r="J415" s="43"/>
      <x:c r="K415" s="47"/>
      <x:c r="L415" s="43"/>
      <x:c r="M415" s="43"/>
    </x:row>
    <x:row r="416">
      <x:c r="A416" s="43"/>
      <x:c r="B416" s="43"/>
      <x:c r="C416" s="43"/>
      <x:c r="D416" s="45"/>
      <x:c r="E416" s="43"/>
      <x:c r="F416" s="43"/>
      <x:c r="G416" s="43"/>
      <x:c r="H416" s="43"/>
      <x:c r="I416" s="43"/>
      <x:c r="J416" s="43"/>
      <x:c r="K416" s="47"/>
      <x:c r="L416" s="43"/>
      <x:c r="M416" s="43"/>
    </x:row>
    <x:row r="417">
      <x:c r="A417" s="43"/>
      <x:c r="B417" s="43"/>
      <x:c r="C417" s="43"/>
      <x:c r="D417" s="45"/>
      <x:c r="E417" s="43"/>
      <x:c r="F417" s="43"/>
      <x:c r="G417" s="43"/>
      <x:c r="H417" s="43"/>
      <x:c r="I417" s="43"/>
      <x:c r="J417" s="43"/>
      <x:c r="K417" s="47"/>
      <x:c r="L417" s="43"/>
      <x:c r="M417" s="43"/>
    </x:row>
    <x:row r="418">
      <x:c r="A418" s="43"/>
      <x:c r="B418" s="43"/>
      <x:c r="C418" s="43"/>
      <x:c r="D418" s="45"/>
      <x:c r="E418" s="43"/>
      <x:c r="F418" s="43"/>
      <x:c r="G418" s="43"/>
      <x:c r="H418" s="43"/>
      <x:c r="I418" s="43"/>
      <x:c r="J418" s="43"/>
      <x:c r="K418" s="47"/>
      <x:c r="L418" s="43"/>
      <x:c r="M418" s="43"/>
    </x:row>
    <x:row r="419">
      <x:c r="A419" s="43"/>
      <x:c r="B419" s="43"/>
      <x:c r="C419" s="43"/>
      <x:c r="D419" s="45"/>
      <x:c r="E419" s="43"/>
      <x:c r="F419" s="43"/>
      <x:c r="G419" s="43"/>
      <x:c r="H419" s="43"/>
      <x:c r="I419" s="43"/>
      <x:c r="J419" s="43"/>
      <x:c r="K419" s="47"/>
      <x:c r="L419" s="43"/>
      <x:c r="M419" s="43"/>
    </x:row>
    <x:row r="420">
      <x:c r="A420" s="43"/>
      <x:c r="B420" s="43"/>
      <x:c r="C420" s="43"/>
      <x:c r="D420" s="45"/>
      <x:c r="E420" s="43"/>
      <x:c r="F420" s="43"/>
      <x:c r="G420" s="43"/>
      <x:c r="H420" s="43"/>
      <x:c r="I420" s="43"/>
      <x:c r="J420" s="43"/>
      <x:c r="K420" s="47"/>
      <x:c r="L420" s="43"/>
      <x:c r="M420" s="43"/>
    </x:row>
    <x:row r="421">
      <x:c r="A421" s="43"/>
      <x:c r="B421" s="43"/>
      <x:c r="C421" s="43"/>
      <x:c r="D421" s="45"/>
      <x:c r="E421" s="43"/>
      <x:c r="F421" s="43"/>
      <x:c r="G421" s="43"/>
      <x:c r="H421" s="43"/>
      <x:c r="I421" s="43"/>
      <x:c r="J421" s="43"/>
      <x:c r="K421" s="47"/>
      <x:c r="L421" s="43"/>
      <x:c r="M421" s="43"/>
    </x:row>
    <x:row r="422">
      <x:c r="A422" s="43"/>
      <x:c r="B422" s="43"/>
      <x:c r="C422" s="43"/>
      <x:c r="D422" s="45"/>
      <x:c r="E422" s="43"/>
      <x:c r="F422" s="43"/>
      <x:c r="G422" s="43"/>
      <x:c r="H422" s="43"/>
      <x:c r="I422" s="43"/>
      <x:c r="J422" s="43"/>
      <x:c r="K422" s="47"/>
      <x:c r="L422" s="43"/>
      <x:c r="M422" s="43"/>
    </x:row>
    <x:row r="423">
      <x:c r="A423" s="43"/>
      <x:c r="B423" s="43"/>
      <x:c r="C423" s="43"/>
      <x:c r="D423" s="45"/>
      <x:c r="E423" s="43"/>
      <x:c r="F423" s="43"/>
      <x:c r="G423" s="43"/>
      <x:c r="H423" s="43"/>
      <x:c r="I423" s="43"/>
      <x:c r="J423" s="43"/>
      <x:c r="K423" s="47"/>
      <x:c r="L423" s="43"/>
      <x:c r="M423" s="43"/>
    </x:row>
    <x:row r="424">
      <x:c r="A424" s="43"/>
      <x:c r="B424" s="43"/>
      <x:c r="C424" s="43"/>
      <x:c r="D424" s="45"/>
      <x:c r="E424" s="43"/>
      <x:c r="F424" s="43"/>
      <x:c r="G424" s="43"/>
      <x:c r="H424" s="43"/>
      <x:c r="I424" s="43"/>
      <x:c r="J424" s="43"/>
      <x:c r="K424" s="47"/>
      <x:c r="L424" s="43"/>
      <x:c r="M424" s="43"/>
    </x:row>
    <x:row r="425">
      <x:c r="A425" s="43"/>
      <x:c r="B425" s="43"/>
      <x:c r="C425" s="43"/>
      <x:c r="D425" s="45"/>
      <x:c r="E425" s="43"/>
      <x:c r="F425" s="43"/>
      <x:c r="G425" s="43"/>
      <x:c r="H425" s="43"/>
      <x:c r="I425" s="43"/>
      <x:c r="J425" s="43"/>
      <x:c r="K425" s="47"/>
      <x:c r="L425" s="43"/>
      <x:c r="M425" s="43"/>
    </x:row>
    <x:row r="426">
      <x:c r="A426" s="43"/>
      <x:c r="B426" s="43"/>
      <x:c r="C426" s="43"/>
      <x:c r="D426" s="45"/>
      <x:c r="E426" s="43"/>
      <x:c r="F426" s="43"/>
      <x:c r="G426" s="43"/>
      <x:c r="H426" s="43"/>
      <x:c r="I426" s="43"/>
      <x:c r="J426" s="43"/>
      <x:c r="K426" s="47"/>
      <x:c r="L426" s="43"/>
      <x:c r="M426" s="43"/>
    </x:row>
    <x:row r="427">
      <x:c r="A427" s="43"/>
      <x:c r="B427" s="43"/>
      <x:c r="C427" s="43"/>
      <x:c r="D427" s="45"/>
      <x:c r="E427" s="43"/>
      <x:c r="F427" s="43"/>
      <x:c r="G427" s="43"/>
      <x:c r="H427" s="43"/>
      <x:c r="I427" s="43"/>
      <x:c r="J427" s="43"/>
      <x:c r="K427" s="47"/>
      <x:c r="L427" s="43"/>
      <x:c r="M427" s="43"/>
    </x:row>
    <x:row r="428">
      <x:c r="A428" s="43"/>
      <x:c r="B428" s="43"/>
      <x:c r="C428" s="43"/>
      <x:c r="D428" s="45"/>
      <x:c r="E428" s="43"/>
      <x:c r="F428" s="43"/>
      <x:c r="G428" s="43"/>
      <x:c r="H428" s="43"/>
      <x:c r="I428" s="43"/>
      <x:c r="J428" s="43"/>
      <x:c r="K428" s="47"/>
      <x:c r="L428" s="43"/>
      <x:c r="M428" s="43"/>
    </x:row>
    <x:row r="429">
      <x:c r="A429" s="43"/>
      <x:c r="B429" s="43"/>
      <x:c r="C429" s="43"/>
      <x:c r="D429" s="45"/>
      <x:c r="E429" s="43"/>
      <x:c r="F429" s="43"/>
      <x:c r="G429" s="43"/>
      <x:c r="H429" s="43"/>
      <x:c r="I429" s="43"/>
      <x:c r="J429" s="43"/>
      <x:c r="K429" s="47"/>
      <x:c r="L429" s="43"/>
      <x:c r="M429" s="43"/>
    </x:row>
    <x:row r="430">
      <x:c r="A430" s="43"/>
      <x:c r="B430" s="43"/>
      <x:c r="C430" s="43"/>
      <x:c r="D430" s="45"/>
      <x:c r="E430" s="43"/>
      <x:c r="F430" s="43"/>
      <x:c r="G430" s="43"/>
      <x:c r="H430" s="43"/>
      <x:c r="I430" s="43"/>
      <x:c r="J430" s="43"/>
      <x:c r="K430" s="47"/>
      <x:c r="L430" s="43"/>
      <x:c r="M430" s="43"/>
    </x:row>
    <x:row r="431">
      <x:c r="A431" s="43"/>
      <x:c r="B431" s="43"/>
      <x:c r="C431" s="43"/>
      <x:c r="D431" s="45"/>
      <x:c r="E431" s="43"/>
      <x:c r="F431" s="43"/>
      <x:c r="G431" s="43"/>
      <x:c r="H431" s="43"/>
      <x:c r="I431" s="43"/>
      <x:c r="J431" s="43"/>
      <x:c r="K431" s="47"/>
      <x:c r="L431" s="43"/>
      <x:c r="M431" s="43"/>
    </x:row>
    <x:row r="432">
      <x:c r="A432" s="43"/>
      <x:c r="B432" s="43"/>
      <x:c r="C432" s="43"/>
      <x:c r="D432" s="45"/>
      <x:c r="E432" s="43"/>
      <x:c r="F432" s="43"/>
      <x:c r="G432" s="43"/>
      <x:c r="H432" s="43"/>
      <x:c r="I432" s="43"/>
      <x:c r="J432" s="43"/>
      <x:c r="K432" s="47"/>
      <x:c r="L432" s="43"/>
      <x:c r="M432" s="43"/>
    </x:row>
    <x:row r="433">
      <x:c r="A433" s="43"/>
      <x:c r="B433" s="43"/>
      <x:c r="C433" s="43"/>
      <x:c r="D433" s="45"/>
      <x:c r="E433" s="43"/>
      <x:c r="F433" s="43"/>
      <x:c r="G433" s="43"/>
      <x:c r="H433" s="43"/>
      <x:c r="I433" s="43"/>
      <x:c r="J433" s="43"/>
      <x:c r="K433" s="47"/>
      <x:c r="L433" s="43"/>
      <x:c r="M433" s="43"/>
    </x:row>
    <x:row r="434">
      <x:c r="A434" s="43"/>
      <x:c r="B434" s="43"/>
      <x:c r="C434" s="43"/>
      <x:c r="D434" s="45"/>
      <x:c r="E434" s="43"/>
      <x:c r="F434" s="43"/>
      <x:c r="G434" s="43"/>
      <x:c r="H434" s="43"/>
      <x:c r="I434" s="43"/>
      <x:c r="J434" s="43"/>
      <x:c r="K434" s="47"/>
      <x:c r="L434" s="43"/>
      <x:c r="M434" s="43"/>
    </x:row>
    <x:row r="435">
      <x:c r="A435" s="43"/>
      <x:c r="B435" s="43"/>
      <x:c r="C435" s="43"/>
      <x:c r="D435" s="45"/>
      <x:c r="E435" s="43"/>
      <x:c r="F435" s="43"/>
      <x:c r="G435" s="43"/>
      <x:c r="H435" s="43"/>
      <x:c r="I435" s="43"/>
      <x:c r="J435" s="43"/>
      <x:c r="K435" s="47"/>
      <x:c r="L435" s="43"/>
      <x:c r="M435" s="43"/>
    </x:row>
    <x:row r="436">
      <x:c r="A436" s="43"/>
      <x:c r="B436" s="43"/>
      <x:c r="C436" s="43"/>
      <x:c r="D436" s="45"/>
      <x:c r="E436" s="43"/>
      <x:c r="F436" s="43"/>
      <x:c r="G436" s="43"/>
      <x:c r="H436" s="43"/>
      <x:c r="I436" s="43"/>
      <x:c r="J436" s="43"/>
      <x:c r="K436" s="47"/>
      <x:c r="L436" s="43"/>
      <x:c r="M436" s="43"/>
    </x:row>
    <x:row r="437">
      <x:c r="A437" s="43"/>
      <x:c r="B437" s="43"/>
      <x:c r="C437" s="43"/>
      <x:c r="D437" s="45"/>
      <x:c r="E437" s="43"/>
      <x:c r="F437" s="43"/>
      <x:c r="G437" s="43"/>
      <x:c r="H437" s="43"/>
      <x:c r="I437" s="43"/>
      <x:c r="J437" s="43"/>
      <x:c r="K437" s="47"/>
      <x:c r="L437" s="43"/>
      <x:c r="M437" s="43"/>
    </x:row>
    <x:row r="438">
      <x:c r="A438" s="43"/>
      <x:c r="B438" s="43"/>
      <x:c r="C438" s="43"/>
      <x:c r="D438" s="45"/>
      <x:c r="E438" s="43"/>
      <x:c r="F438" s="43"/>
      <x:c r="G438" s="43"/>
      <x:c r="H438" s="43"/>
      <x:c r="I438" s="43"/>
      <x:c r="J438" s="43"/>
      <x:c r="K438" s="47"/>
      <x:c r="L438" s="43"/>
      <x:c r="M438" s="43"/>
    </x:row>
    <x:row r="439">
      <x:c r="A439" s="43"/>
      <x:c r="B439" s="43"/>
      <x:c r="C439" s="43"/>
      <x:c r="D439" s="45"/>
      <x:c r="E439" s="43"/>
      <x:c r="F439" s="43"/>
      <x:c r="G439" s="43"/>
      <x:c r="H439" s="43"/>
      <x:c r="I439" s="43"/>
      <x:c r="J439" s="43"/>
      <x:c r="K439" s="47"/>
      <x:c r="L439" s="43"/>
      <x:c r="M439" s="43"/>
    </x:row>
    <x:row r="440">
      <x:c r="A440" s="43"/>
      <x:c r="B440" s="43"/>
      <x:c r="C440" s="43"/>
      <x:c r="D440" s="45"/>
      <x:c r="E440" s="43"/>
      <x:c r="F440" s="43"/>
      <x:c r="G440" s="43"/>
      <x:c r="H440" s="43"/>
      <x:c r="I440" s="43"/>
      <x:c r="J440" s="43"/>
      <x:c r="K440" s="47"/>
      <x:c r="L440" s="43"/>
      <x:c r="M440" s="43"/>
    </x:row>
    <x:row r="441">
      <x:c r="A441" s="43"/>
      <x:c r="B441" s="43"/>
      <x:c r="C441" s="43"/>
      <x:c r="D441" s="45"/>
      <x:c r="E441" s="43"/>
      <x:c r="F441" s="43"/>
      <x:c r="G441" s="43"/>
      <x:c r="H441" s="43"/>
      <x:c r="I441" s="43"/>
      <x:c r="J441" s="43"/>
      <x:c r="K441" s="47"/>
      <x:c r="L441" s="43"/>
      <x:c r="M441" s="43"/>
    </x:row>
    <x:row r="442">
      <x:c r="A442" s="43"/>
      <x:c r="B442" s="43"/>
      <x:c r="C442" s="43"/>
      <x:c r="D442" s="45"/>
      <x:c r="E442" s="43"/>
      <x:c r="F442" s="43"/>
      <x:c r="G442" s="43"/>
      <x:c r="H442" s="43"/>
      <x:c r="I442" s="43"/>
      <x:c r="J442" s="43"/>
      <x:c r="K442" s="47"/>
      <x:c r="L442" s="43"/>
      <x:c r="M442" s="43"/>
    </x:row>
    <x:row r="443">
      <x:c r="A443" s="43"/>
      <x:c r="B443" s="43"/>
      <x:c r="C443" s="43"/>
      <x:c r="D443" s="45"/>
      <x:c r="E443" s="43"/>
      <x:c r="F443" s="43"/>
      <x:c r="G443" s="43"/>
      <x:c r="H443" s="43"/>
      <x:c r="I443" s="43"/>
      <x:c r="J443" s="43"/>
      <x:c r="K443" s="47"/>
      <x:c r="L443" s="43"/>
      <x:c r="M443" s="43"/>
    </x:row>
    <x:row r="444">
      <x:c r="A444" s="43"/>
      <x:c r="B444" s="43"/>
      <x:c r="C444" s="43"/>
      <x:c r="D444" s="45"/>
      <x:c r="E444" s="43"/>
      <x:c r="F444" s="43"/>
      <x:c r="G444" s="43"/>
      <x:c r="H444" s="43"/>
      <x:c r="I444" s="43"/>
      <x:c r="J444" s="43"/>
      <x:c r="K444" s="47"/>
      <x:c r="L444" s="43"/>
      <x:c r="M444" s="43"/>
    </x:row>
    <x:row r="445">
      <x:c r="A445" s="43"/>
      <x:c r="B445" s="43"/>
      <x:c r="C445" s="43"/>
      <x:c r="D445" s="45"/>
      <x:c r="E445" s="43"/>
      <x:c r="F445" s="43"/>
      <x:c r="G445" s="43"/>
      <x:c r="H445" s="43"/>
      <x:c r="I445" s="43"/>
      <x:c r="J445" s="43"/>
      <x:c r="K445" s="47"/>
      <x:c r="L445" s="43"/>
      <x:c r="M445" s="43"/>
    </x:row>
    <x:row r="446">
      <x:c r="A446" s="43"/>
      <x:c r="B446" s="43"/>
      <x:c r="C446" s="43"/>
      <x:c r="D446" s="45"/>
      <x:c r="E446" s="43"/>
      <x:c r="F446" s="43"/>
      <x:c r="G446" s="43"/>
      <x:c r="H446" s="43"/>
      <x:c r="I446" s="43"/>
      <x:c r="J446" s="43"/>
      <x:c r="K446" s="47"/>
      <x:c r="L446" s="43"/>
      <x:c r="M446" s="43"/>
    </x:row>
    <x:row r="447">
      <x:c r="A447" s="43"/>
      <x:c r="B447" s="43"/>
      <x:c r="C447" s="43"/>
      <x:c r="D447" s="45"/>
      <x:c r="E447" s="43"/>
      <x:c r="F447" s="43"/>
      <x:c r="G447" s="43"/>
      <x:c r="H447" s="43"/>
      <x:c r="I447" s="43"/>
      <x:c r="J447" s="43"/>
      <x:c r="K447" s="47"/>
      <x:c r="L447" s="43"/>
      <x:c r="M447" s="43"/>
    </x:row>
    <x:row r="448">
      <x:c r="A448" s="43"/>
      <x:c r="B448" s="43"/>
      <x:c r="C448" s="43"/>
      <x:c r="D448" s="45"/>
      <x:c r="E448" s="43"/>
      <x:c r="F448" s="43"/>
      <x:c r="G448" s="43"/>
      <x:c r="H448" s="43"/>
      <x:c r="I448" s="43"/>
      <x:c r="J448" s="43"/>
      <x:c r="K448" s="47"/>
      <x:c r="L448" s="43"/>
      <x:c r="M448" s="43"/>
    </x:row>
    <x:row r="449">
      <x:c r="A449" s="43"/>
      <x:c r="B449" s="43"/>
      <x:c r="C449" s="43"/>
      <x:c r="D449" s="45"/>
      <x:c r="E449" s="43"/>
      <x:c r="F449" s="43"/>
      <x:c r="G449" s="43"/>
      <x:c r="H449" s="43"/>
      <x:c r="I449" s="43"/>
      <x:c r="J449" s="43"/>
      <x:c r="K449" s="47"/>
      <x:c r="L449" s="43"/>
      <x:c r="M449" s="43"/>
    </x:row>
    <x:row r="450">
      <x:c r="A450" s="43"/>
      <x:c r="B450" s="43"/>
      <x:c r="C450" s="43"/>
      <x:c r="D450" s="45"/>
      <x:c r="E450" s="43"/>
      <x:c r="F450" s="43"/>
      <x:c r="G450" s="43"/>
      <x:c r="H450" s="43"/>
      <x:c r="I450" s="43"/>
      <x:c r="J450" s="43"/>
      <x:c r="K450" s="47"/>
      <x:c r="L450" s="43"/>
      <x:c r="M450" s="43"/>
    </x:row>
    <x:row r="451">
      <x:c r="A451" s="43"/>
      <x:c r="B451" s="43"/>
      <x:c r="C451" s="43"/>
      <x:c r="D451" s="45"/>
      <x:c r="E451" s="43"/>
      <x:c r="F451" s="43"/>
      <x:c r="G451" s="43"/>
      <x:c r="H451" s="43"/>
      <x:c r="I451" s="43"/>
      <x:c r="J451" s="43"/>
      <x:c r="K451" s="47"/>
      <x:c r="L451" s="43"/>
      <x:c r="M451" s="43"/>
    </x:row>
    <x:row r="452">
      <x:c r="A452" s="43"/>
      <x:c r="B452" s="43"/>
      <x:c r="C452" s="43"/>
      <x:c r="D452" s="45"/>
      <x:c r="E452" s="43"/>
      <x:c r="F452" s="43"/>
      <x:c r="G452" s="43"/>
      <x:c r="H452" s="43"/>
      <x:c r="I452" s="43"/>
      <x:c r="J452" s="43"/>
      <x:c r="K452" s="47"/>
      <x:c r="L452" s="43"/>
      <x:c r="M452" s="43"/>
    </x:row>
    <x:row r="453">
      <x:c r="A453" s="43"/>
      <x:c r="B453" s="43"/>
      <x:c r="C453" s="43"/>
      <x:c r="D453" s="45"/>
      <x:c r="E453" s="43"/>
      <x:c r="F453" s="43"/>
      <x:c r="G453" s="43"/>
      <x:c r="H453" s="43"/>
      <x:c r="I453" s="43"/>
      <x:c r="J453" s="43"/>
      <x:c r="K453" s="47"/>
      <x:c r="L453" s="43"/>
      <x:c r="M453" s="43"/>
    </x:row>
    <x:row r="454">
      <x:c r="A454" s="43"/>
      <x:c r="B454" s="43"/>
      <x:c r="C454" s="43"/>
      <x:c r="D454" s="45"/>
      <x:c r="E454" s="43"/>
      <x:c r="F454" s="43"/>
      <x:c r="G454" s="43"/>
      <x:c r="H454" s="43"/>
      <x:c r="I454" s="43"/>
      <x:c r="J454" s="43"/>
      <x:c r="K454" s="47"/>
      <x:c r="L454" s="43"/>
      <x:c r="M454" s="43"/>
    </x:row>
    <x:row r="455">
      <x:c r="A455" s="43"/>
      <x:c r="B455" s="43"/>
      <x:c r="C455" s="43"/>
      <x:c r="D455" s="45"/>
      <x:c r="E455" s="43"/>
      <x:c r="F455" s="43"/>
      <x:c r="G455" s="43"/>
      <x:c r="H455" s="43"/>
      <x:c r="I455" s="43"/>
      <x:c r="J455" s="43"/>
      <x:c r="K455" s="47"/>
      <x:c r="L455" s="43"/>
      <x:c r="M455" s="43"/>
    </x:row>
    <x:row r="456">
      <x:c r="A456" s="43"/>
      <x:c r="B456" s="43"/>
      <x:c r="C456" s="43"/>
      <x:c r="D456" s="45"/>
      <x:c r="E456" s="43"/>
      <x:c r="F456" s="43"/>
      <x:c r="G456" s="43"/>
      <x:c r="H456" s="43"/>
      <x:c r="I456" s="43"/>
      <x:c r="J456" s="43"/>
      <x:c r="K456" s="47"/>
      <x:c r="L456" s="43"/>
      <x:c r="M456" s="43"/>
    </x:row>
    <x:row r="457">
      <x:c r="A457" s="43"/>
      <x:c r="B457" s="43"/>
      <x:c r="C457" s="43"/>
      <x:c r="D457" s="45"/>
      <x:c r="E457" s="43"/>
      <x:c r="F457" s="43"/>
      <x:c r="G457" s="43"/>
      <x:c r="H457" s="43"/>
      <x:c r="I457" s="43"/>
      <x:c r="J457" s="43"/>
      <x:c r="K457" s="47"/>
      <x:c r="L457" s="43"/>
      <x:c r="M457" s="43"/>
    </x:row>
    <x:row r="458">
      <x:c r="A458" s="43"/>
      <x:c r="B458" s="43"/>
      <x:c r="C458" s="43"/>
      <x:c r="D458" s="45"/>
      <x:c r="E458" s="43"/>
      <x:c r="F458" s="43"/>
      <x:c r="G458" s="43"/>
      <x:c r="H458" s="43"/>
      <x:c r="I458" s="43"/>
      <x:c r="J458" s="43"/>
      <x:c r="K458" s="47"/>
      <x:c r="L458" s="43"/>
      <x:c r="M458" s="43"/>
    </x:row>
    <x:row r="459">
      <x:c r="A459" s="43"/>
      <x:c r="B459" s="43"/>
      <x:c r="C459" s="43"/>
      <x:c r="D459" s="45"/>
      <x:c r="E459" s="43"/>
      <x:c r="F459" s="43"/>
      <x:c r="G459" s="43"/>
      <x:c r="H459" s="43"/>
      <x:c r="I459" s="43"/>
      <x:c r="J459" s="43"/>
      <x:c r="K459" s="47"/>
      <x:c r="L459" s="43"/>
      <x:c r="M459" s="43"/>
    </x:row>
    <x:row r="460">
      <x:c r="A460" s="43"/>
      <x:c r="B460" s="43"/>
      <x:c r="C460" s="43"/>
      <x:c r="D460" s="45"/>
      <x:c r="E460" s="43"/>
      <x:c r="F460" s="43"/>
      <x:c r="G460" s="43"/>
      <x:c r="H460" s="43"/>
      <x:c r="I460" s="43"/>
      <x:c r="J460" s="43"/>
      <x:c r="K460" s="47"/>
      <x:c r="L460" s="43"/>
      <x:c r="M460" s="43"/>
    </x:row>
    <x:row r="461">
      <x:c r="A461" s="43"/>
      <x:c r="B461" s="43"/>
      <x:c r="C461" s="43"/>
      <x:c r="D461" s="45"/>
      <x:c r="E461" s="43"/>
      <x:c r="F461" s="43"/>
      <x:c r="G461" s="43"/>
      <x:c r="H461" s="43"/>
      <x:c r="I461" s="43"/>
      <x:c r="J461" s="43"/>
      <x:c r="K461" s="47"/>
      <x:c r="L461" s="43"/>
      <x:c r="M461" s="43"/>
    </x:row>
    <x:row r="462">
      <x:c r="A462" s="43"/>
      <x:c r="B462" s="43"/>
      <x:c r="C462" s="43"/>
      <x:c r="D462" s="45"/>
      <x:c r="E462" s="43"/>
      <x:c r="F462" s="43"/>
      <x:c r="G462" s="43"/>
      <x:c r="H462" s="43"/>
      <x:c r="I462" s="43"/>
      <x:c r="J462" s="43"/>
      <x:c r="K462" s="47"/>
      <x:c r="L462" s="43"/>
      <x:c r="M462" s="43"/>
    </x:row>
    <x:row r="463">
      <x:c r="A463" s="43"/>
      <x:c r="B463" s="43"/>
      <x:c r="C463" s="43"/>
      <x:c r="D463" s="45"/>
      <x:c r="E463" s="43"/>
      <x:c r="F463" s="43"/>
      <x:c r="G463" s="43"/>
      <x:c r="H463" s="43"/>
      <x:c r="I463" s="43"/>
      <x:c r="J463" s="43"/>
      <x:c r="K463" s="47"/>
      <x:c r="L463" s="43"/>
      <x:c r="M463" s="43"/>
    </x:row>
    <x:row r="464">
      <x:c r="A464" s="43"/>
      <x:c r="B464" s="43"/>
      <x:c r="C464" s="43"/>
      <x:c r="D464" s="45"/>
      <x:c r="E464" s="43"/>
      <x:c r="F464" s="43"/>
      <x:c r="G464" s="43"/>
      <x:c r="H464" s="43"/>
      <x:c r="I464" s="43"/>
      <x:c r="J464" s="43"/>
      <x:c r="K464" s="47"/>
      <x:c r="L464" s="43"/>
      <x:c r="M464" s="43"/>
    </x:row>
    <x:row r="465">
      <x:c r="A465" s="43"/>
      <x:c r="B465" s="43"/>
      <x:c r="C465" s="43"/>
      <x:c r="D465" s="45"/>
      <x:c r="E465" s="43"/>
      <x:c r="F465" s="43"/>
      <x:c r="G465" s="43"/>
      <x:c r="H465" s="43"/>
      <x:c r="I465" s="43"/>
      <x:c r="J465" s="43"/>
      <x:c r="K465" s="47"/>
      <x:c r="L465" s="43"/>
      <x:c r="M465" s="43"/>
    </x:row>
    <x:row r="466">
      <x:c r="A466" s="43"/>
      <x:c r="B466" s="43"/>
      <x:c r="C466" s="43"/>
      <x:c r="D466" s="45"/>
      <x:c r="E466" s="43"/>
      <x:c r="F466" s="43"/>
      <x:c r="G466" s="43"/>
      <x:c r="H466" s="43"/>
      <x:c r="I466" s="43"/>
      <x:c r="J466" s="43"/>
      <x:c r="K466" s="47"/>
      <x:c r="L466" s="43"/>
      <x:c r="M466" s="43"/>
    </x:row>
    <x:row r="467">
      <x:c r="A467" s="43"/>
      <x:c r="B467" s="43"/>
      <x:c r="C467" s="43"/>
      <x:c r="D467" s="45"/>
      <x:c r="E467" s="43"/>
      <x:c r="F467" s="43"/>
      <x:c r="G467" s="43"/>
      <x:c r="H467" s="43"/>
      <x:c r="I467" s="43"/>
      <x:c r="J467" s="43"/>
      <x:c r="K467" s="47"/>
      <x:c r="L467" s="43"/>
      <x:c r="M467" s="43"/>
    </x:row>
    <x:row r="468">
      <x:c r="A468" s="43"/>
      <x:c r="B468" s="43"/>
      <x:c r="C468" s="43"/>
      <x:c r="D468" s="45"/>
      <x:c r="E468" s="43"/>
      <x:c r="F468" s="43"/>
      <x:c r="G468" s="43"/>
      <x:c r="H468" s="43"/>
      <x:c r="I468" s="43"/>
      <x:c r="J468" s="43"/>
      <x:c r="K468" s="47"/>
      <x:c r="L468" s="43"/>
      <x:c r="M468" s="43"/>
    </x:row>
    <x:row r="469">
      <x:c r="A469" s="43"/>
      <x:c r="B469" s="43"/>
      <x:c r="C469" s="43"/>
      <x:c r="D469" s="45"/>
      <x:c r="E469" s="43"/>
      <x:c r="F469" s="43"/>
      <x:c r="G469" s="43"/>
      <x:c r="H469" s="43"/>
      <x:c r="I469" s="43"/>
      <x:c r="J469" s="43"/>
      <x:c r="K469" s="47"/>
      <x:c r="L469" s="43"/>
      <x:c r="M469" s="43"/>
    </x:row>
    <x:row r="470">
      <x:c r="A470" s="43"/>
      <x:c r="B470" s="43"/>
      <x:c r="C470" s="43"/>
      <x:c r="D470" s="45"/>
      <x:c r="E470" s="43"/>
      <x:c r="F470" s="43"/>
      <x:c r="G470" s="43"/>
      <x:c r="H470" s="43"/>
      <x:c r="I470" s="43"/>
      <x:c r="J470" s="43"/>
      <x:c r="K470" s="47"/>
      <x:c r="L470" s="43"/>
      <x:c r="M470" s="43"/>
    </x:row>
    <x:row r="471">
      <x:c r="A471" s="43"/>
      <x:c r="B471" s="43"/>
      <x:c r="C471" s="43"/>
      <x:c r="D471" s="45"/>
      <x:c r="E471" s="43"/>
      <x:c r="F471" s="43"/>
      <x:c r="G471" s="43"/>
      <x:c r="H471" s="43"/>
      <x:c r="I471" s="43"/>
      <x:c r="J471" s="43"/>
      <x:c r="K471" s="47"/>
      <x:c r="L471" s="43"/>
      <x:c r="M471" s="43"/>
    </x:row>
    <x:row r="472">
      <x:c r="A472" s="43"/>
      <x:c r="B472" s="43"/>
      <x:c r="C472" s="43"/>
      <x:c r="D472" s="45"/>
      <x:c r="E472" s="43"/>
      <x:c r="F472" s="43"/>
      <x:c r="G472" s="43"/>
      <x:c r="H472" s="43"/>
      <x:c r="I472" s="43"/>
      <x:c r="J472" s="43"/>
      <x:c r="K472" s="47"/>
      <x:c r="L472" s="43"/>
      <x:c r="M472" s="43"/>
    </x:row>
    <x:row r="473">
      <x:c r="A473" s="43"/>
      <x:c r="B473" s="43"/>
      <x:c r="C473" s="43"/>
      <x:c r="D473" s="45"/>
      <x:c r="E473" s="43"/>
      <x:c r="F473" s="43"/>
      <x:c r="G473" s="43"/>
      <x:c r="H473" s="43"/>
      <x:c r="I473" s="43"/>
      <x:c r="J473" s="43"/>
      <x:c r="K473" s="47"/>
      <x:c r="L473" s="43"/>
      <x:c r="M473" s="43"/>
    </x:row>
    <x:row r="474">
      <x:c r="A474" s="43"/>
      <x:c r="B474" s="43"/>
      <x:c r="C474" s="43"/>
      <x:c r="D474" s="45"/>
      <x:c r="E474" s="43"/>
      <x:c r="F474" s="43"/>
      <x:c r="G474" s="43"/>
      <x:c r="H474" s="43"/>
      <x:c r="I474" s="43"/>
      <x:c r="J474" s="43"/>
      <x:c r="K474" s="47"/>
      <x:c r="L474" s="43"/>
      <x:c r="M474" s="43"/>
    </x:row>
    <x:row r="475">
      <x:c r="A475" s="43"/>
      <x:c r="B475" s="43"/>
      <x:c r="C475" s="43"/>
      <x:c r="D475" s="45"/>
      <x:c r="E475" s="43"/>
      <x:c r="F475" s="43"/>
      <x:c r="G475" s="43"/>
      <x:c r="H475" s="43"/>
      <x:c r="I475" s="43"/>
      <x:c r="J475" s="43"/>
      <x:c r="K475" s="47"/>
      <x:c r="L475" s="43"/>
      <x:c r="M475" s="43"/>
    </x:row>
    <x:row r="476">
      <x:c r="A476" s="43"/>
      <x:c r="B476" s="43"/>
      <x:c r="C476" s="43"/>
      <x:c r="D476" s="45"/>
      <x:c r="E476" s="43"/>
      <x:c r="F476" s="43"/>
      <x:c r="G476" s="43"/>
      <x:c r="H476" s="43"/>
      <x:c r="I476" s="43"/>
      <x:c r="J476" s="43"/>
      <x:c r="K476" s="47"/>
      <x:c r="L476" s="43"/>
      <x:c r="M476" s="43"/>
    </x:row>
    <x:row r="477">
      <x:c r="A477" s="43"/>
      <x:c r="B477" s="43"/>
      <x:c r="C477" s="43"/>
      <x:c r="D477" s="45"/>
      <x:c r="E477" s="43"/>
      <x:c r="F477" s="43"/>
      <x:c r="G477" s="43"/>
      <x:c r="H477" s="43"/>
      <x:c r="I477" s="43"/>
      <x:c r="J477" s="43"/>
      <x:c r="K477" s="47"/>
      <x:c r="L477" s="43"/>
      <x:c r="M477" s="43"/>
    </x:row>
    <x:row r="478">
      <x:c r="A478" s="43"/>
      <x:c r="B478" s="43"/>
      <x:c r="C478" s="43"/>
      <x:c r="D478" s="45"/>
      <x:c r="E478" s="43"/>
      <x:c r="F478" s="43"/>
      <x:c r="G478" s="43"/>
      <x:c r="H478" s="43"/>
      <x:c r="I478" s="43"/>
      <x:c r="J478" s="43"/>
      <x:c r="K478" s="47"/>
      <x:c r="L478" s="43"/>
      <x:c r="M478" s="43"/>
    </x:row>
    <x:row r="479">
      <x:c r="A479" s="43"/>
      <x:c r="B479" s="43"/>
      <x:c r="C479" s="43"/>
      <x:c r="D479" s="45"/>
      <x:c r="E479" s="43"/>
      <x:c r="F479" s="43"/>
      <x:c r="G479" s="43"/>
      <x:c r="H479" s="43"/>
      <x:c r="I479" s="43"/>
      <x:c r="J479" s="43"/>
      <x:c r="K479" s="47"/>
      <x:c r="L479" s="43"/>
      <x:c r="M479" s="43"/>
    </x:row>
    <x:row r="480">
      <x:c r="A480" s="43"/>
      <x:c r="B480" s="43"/>
      <x:c r="C480" s="43"/>
      <x:c r="D480" s="45"/>
      <x:c r="E480" s="43"/>
      <x:c r="F480" s="43"/>
      <x:c r="G480" s="43"/>
      <x:c r="H480" s="43"/>
      <x:c r="I480" s="43"/>
      <x:c r="J480" s="43"/>
      <x:c r="K480" s="47"/>
      <x:c r="L480" s="43"/>
      <x:c r="M480" s="43"/>
    </x:row>
    <x:row r="481">
      <x:c r="A481" s="43"/>
      <x:c r="B481" s="43"/>
      <x:c r="C481" s="43"/>
      <x:c r="D481" s="45"/>
      <x:c r="E481" s="43"/>
      <x:c r="F481" s="43"/>
      <x:c r="G481" s="43"/>
      <x:c r="H481" s="43"/>
      <x:c r="I481" s="43"/>
      <x:c r="J481" s="43"/>
      <x:c r="K481" s="47"/>
      <x:c r="L481" s="43"/>
      <x:c r="M481" s="43"/>
    </x:row>
    <x:row r="482">
      <x:c r="A482" s="43"/>
      <x:c r="B482" s="43"/>
      <x:c r="C482" s="43"/>
      <x:c r="D482" s="45"/>
      <x:c r="E482" s="43"/>
      <x:c r="F482" s="43"/>
      <x:c r="G482" s="43"/>
      <x:c r="H482" s="43"/>
      <x:c r="I482" s="43"/>
      <x:c r="J482" s="43"/>
      <x:c r="K482" s="47"/>
      <x:c r="L482" s="43"/>
      <x:c r="M482" s="43"/>
    </x:row>
    <x:row r="483">
      <x:c r="A483" s="43"/>
      <x:c r="B483" s="43"/>
      <x:c r="C483" s="43"/>
      <x:c r="D483" s="45"/>
      <x:c r="E483" s="43"/>
      <x:c r="F483" s="43"/>
      <x:c r="G483" s="43"/>
      <x:c r="H483" s="43"/>
      <x:c r="I483" s="43"/>
      <x:c r="J483" s="43"/>
      <x:c r="K483" s="47"/>
      <x:c r="L483" s="43"/>
      <x:c r="M483" s="43"/>
    </x:row>
    <x:row r="484">
      <x:c r="A484" s="43"/>
      <x:c r="B484" s="43"/>
      <x:c r="C484" s="43"/>
      <x:c r="D484" s="45"/>
      <x:c r="E484" s="43"/>
      <x:c r="F484" s="43"/>
      <x:c r="G484" s="43"/>
      <x:c r="H484" s="43"/>
      <x:c r="I484" s="43"/>
      <x:c r="J484" s="43"/>
      <x:c r="K484" s="47"/>
      <x:c r="L484" s="43"/>
      <x:c r="M484" s="43"/>
    </x:row>
    <x:row r="485">
      <x:c r="A485" s="43"/>
      <x:c r="B485" s="43"/>
      <x:c r="C485" s="43"/>
      <x:c r="D485" s="45"/>
      <x:c r="E485" s="43"/>
      <x:c r="F485" s="43"/>
      <x:c r="G485" s="43"/>
      <x:c r="H485" s="43"/>
      <x:c r="I485" s="43"/>
      <x:c r="J485" s="43"/>
      <x:c r="K485" s="47"/>
      <x:c r="L485" s="43"/>
      <x:c r="M485" s="43"/>
    </x:row>
    <x:row r="486">
      <x:c r="A486" s="43"/>
      <x:c r="B486" s="43"/>
      <x:c r="C486" s="43"/>
      <x:c r="D486" s="45"/>
      <x:c r="E486" s="43"/>
      <x:c r="F486" s="43"/>
      <x:c r="G486" s="43"/>
      <x:c r="H486" s="43"/>
      <x:c r="I486" s="43"/>
      <x:c r="J486" s="43"/>
      <x:c r="K486" s="47"/>
      <x:c r="L486" s="43"/>
      <x:c r="M486" s="43"/>
    </x:row>
    <x:row r="487">
      <x:c r="A487" s="43"/>
      <x:c r="B487" s="43"/>
      <x:c r="C487" s="43"/>
      <x:c r="D487" s="45"/>
      <x:c r="E487" s="43"/>
      <x:c r="F487" s="43"/>
      <x:c r="G487" s="43"/>
      <x:c r="H487" s="43"/>
      <x:c r="I487" s="43"/>
      <x:c r="J487" s="43"/>
      <x:c r="K487" s="47"/>
      <x:c r="L487" s="43"/>
      <x:c r="M487" s="43"/>
    </x:row>
    <x:row r="488">
      <x:c r="A488" s="43"/>
      <x:c r="B488" s="43"/>
      <x:c r="C488" s="43"/>
      <x:c r="D488" s="45"/>
      <x:c r="E488" s="43"/>
      <x:c r="F488" s="43"/>
      <x:c r="G488" s="43"/>
      <x:c r="H488" s="43"/>
      <x:c r="I488" s="43"/>
      <x:c r="J488" s="43"/>
      <x:c r="K488" s="47"/>
      <x:c r="L488" s="43"/>
      <x:c r="M488" s="43"/>
    </x:row>
    <x:row r="489">
      <x:c r="A489" s="43"/>
      <x:c r="B489" s="43"/>
      <x:c r="C489" s="43"/>
      <x:c r="D489" s="45"/>
      <x:c r="E489" s="43"/>
      <x:c r="F489" s="43"/>
      <x:c r="G489" s="43"/>
      <x:c r="H489" s="43"/>
      <x:c r="I489" s="43"/>
      <x:c r="J489" s="43"/>
      <x:c r="K489" s="47"/>
      <x:c r="L489" s="43"/>
      <x:c r="M489" s="43"/>
    </x:row>
    <x:row r="490">
      <x:c r="A490" s="43"/>
      <x:c r="B490" s="43"/>
      <x:c r="C490" s="43"/>
      <x:c r="D490" s="45"/>
      <x:c r="E490" s="43"/>
      <x:c r="F490" s="43"/>
      <x:c r="G490" s="43"/>
      <x:c r="H490" s="43"/>
      <x:c r="I490" s="43"/>
      <x:c r="J490" s="43"/>
      <x:c r="K490" s="47"/>
      <x:c r="L490" s="43"/>
      <x:c r="M490" s="43"/>
    </x:row>
    <x:row r="491">
      <x:c r="A491" s="43"/>
      <x:c r="B491" s="43"/>
      <x:c r="C491" s="43"/>
      <x:c r="D491" s="45"/>
      <x:c r="E491" s="43"/>
      <x:c r="F491" s="43"/>
      <x:c r="G491" s="43"/>
      <x:c r="H491" s="43"/>
      <x:c r="I491" s="43"/>
      <x:c r="J491" s="43"/>
      <x:c r="K491" s="47"/>
      <x:c r="L491" s="43"/>
      <x:c r="M491" s="43"/>
    </x:row>
    <x:row r="492">
      <x:c r="A492" s="43"/>
      <x:c r="B492" s="43"/>
      <x:c r="C492" s="43"/>
      <x:c r="D492" s="45"/>
      <x:c r="E492" s="43"/>
      <x:c r="F492" s="43"/>
      <x:c r="G492" s="43"/>
      <x:c r="H492" s="43"/>
      <x:c r="I492" s="43"/>
      <x:c r="J492" s="43"/>
      <x:c r="K492" s="47"/>
      <x:c r="L492" s="43"/>
      <x:c r="M492" s="43"/>
    </x:row>
    <x:row r="493">
      <x:c r="A493" s="43"/>
      <x:c r="B493" s="43"/>
      <x:c r="C493" s="43"/>
      <x:c r="D493" s="45"/>
      <x:c r="E493" s="43"/>
      <x:c r="F493" s="43"/>
      <x:c r="G493" s="43"/>
      <x:c r="H493" s="43"/>
      <x:c r="I493" s="43"/>
      <x:c r="J493" s="43"/>
      <x:c r="K493" s="47"/>
      <x:c r="L493" s="43"/>
      <x:c r="M493" s="43"/>
    </x:row>
    <x:row r="494">
      <x:c r="A494" s="43"/>
      <x:c r="B494" s="43"/>
      <x:c r="C494" s="43"/>
      <x:c r="D494" s="45"/>
      <x:c r="E494" s="43"/>
      <x:c r="F494" s="43"/>
      <x:c r="G494" s="43"/>
      <x:c r="H494" s="43"/>
      <x:c r="I494" s="43"/>
      <x:c r="J494" s="43"/>
      <x:c r="K494" s="47"/>
      <x:c r="L494" s="43"/>
      <x:c r="M494" s="43"/>
    </x:row>
    <x:row r="495">
      <x:c r="A495" s="43"/>
      <x:c r="B495" s="43"/>
      <x:c r="C495" s="43"/>
      <x:c r="D495" s="45"/>
      <x:c r="E495" s="43"/>
      <x:c r="F495" s="43"/>
      <x:c r="G495" s="43"/>
      <x:c r="H495" s="43"/>
      <x:c r="I495" s="43"/>
      <x:c r="J495" s="43"/>
      <x:c r="K495" s="47"/>
      <x:c r="L495" s="43"/>
      <x:c r="M495" s="43"/>
    </x:row>
    <x:row r="496">
      <x:c r="A496" s="43"/>
      <x:c r="B496" s="43"/>
      <x:c r="C496" s="43"/>
      <x:c r="D496" s="45"/>
      <x:c r="E496" s="43"/>
      <x:c r="F496" s="43"/>
      <x:c r="G496" s="43"/>
      <x:c r="H496" s="43"/>
      <x:c r="I496" s="43"/>
      <x:c r="J496" s="43"/>
      <x:c r="K496" s="47"/>
      <x:c r="L496" s="43"/>
      <x:c r="M496" s="43"/>
    </x:row>
    <x:row r="497">
      <x:c r="A497" s="43"/>
      <x:c r="B497" s="43"/>
      <x:c r="C497" s="43"/>
      <x:c r="D497" s="45"/>
      <x:c r="E497" s="43"/>
      <x:c r="F497" s="43"/>
      <x:c r="G497" s="43"/>
      <x:c r="H497" s="43"/>
      <x:c r="I497" s="43"/>
      <x:c r="J497" s="43"/>
      <x:c r="K497" s="47"/>
      <x:c r="L497" s="43"/>
      <x:c r="M497" s="43"/>
    </x:row>
    <x:row r="498">
      <x:c r="A498" s="43"/>
      <x:c r="B498" s="43"/>
      <x:c r="C498" s="43"/>
      <x:c r="D498" s="45"/>
      <x:c r="E498" s="43"/>
      <x:c r="F498" s="43"/>
      <x:c r="G498" s="43"/>
      <x:c r="H498" s="43"/>
      <x:c r="I498" s="43"/>
      <x:c r="J498" s="43"/>
      <x:c r="K498" s="47"/>
      <x:c r="L498" s="43"/>
      <x:c r="M498" s="43"/>
    </x:row>
    <x:row r="499">
      <x:c r="A499" s="43"/>
      <x:c r="B499" s="43"/>
      <x:c r="C499" s="43"/>
      <x:c r="D499" s="45"/>
      <x:c r="E499" s="43"/>
      <x:c r="F499" s="43"/>
      <x:c r="G499" s="43"/>
      <x:c r="H499" s="43"/>
      <x:c r="I499" s="43"/>
      <x:c r="J499" s="43"/>
      <x:c r="K499" s="47"/>
      <x:c r="L499" s="43"/>
      <x:c r="M499" s="43"/>
    </x:row>
    <x:row r="500">
      <x:c r="A500" s="43"/>
      <x:c r="B500" s="43"/>
      <x:c r="C500" s="43"/>
      <x:c r="D500" s="45"/>
      <x:c r="E500" s="43"/>
      <x:c r="F500" s="43"/>
      <x:c r="G500" s="43"/>
      <x:c r="H500" s="43"/>
      <x:c r="I500" s="43"/>
      <x:c r="J500" s="43"/>
      <x:c r="K500" s="47"/>
      <x:c r="L500" s="43"/>
      <x:c r="M500" s="43"/>
    </x:row>
    <x:row r="501">
      <x:c r="A501" s="43"/>
      <x:c r="B501" s="43"/>
      <x:c r="C501" s="43"/>
      <x:c r="D501" s="45"/>
      <x:c r="E501" s="43"/>
      <x:c r="F501" s="43"/>
      <x:c r="G501" s="43"/>
      <x:c r="H501" s="43"/>
      <x:c r="I501" s="43"/>
      <x:c r="J501" s="43"/>
      <x:c r="K501" s="47"/>
      <x:c r="L501" s="43"/>
      <x:c r="M501" s="43"/>
    </x:row>
    <x:row r="502">
      <x:c r="A502" s="43"/>
      <x:c r="B502" s="43"/>
      <x:c r="C502" s="43"/>
      <x:c r="D502" s="45"/>
      <x:c r="E502" s="43"/>
      <x:c r="F502" s="43"/>
      <x:c r="G502" s="43"/>
      <x:c r="H502" s="43"/>
      <x:c r="I502" s="43"/>
      <x:c r="J502" s="43"/>
      <x:c r="K502" s="47"/>
      <x:c r="L502" s="43"/>
      <x:c r="M502" s="43"/>
    </x:row>
    <x:row r="503">
      <x:c r="A503" s="43"/>
      <x:c r="B503" s="43"/>
      <x:c r="C503" s="43"/>
      <x:c r="D503" s="45"/>
      <x:c r="E503" s="43"/>
      <x:c r="F503" s="43"/>
      <x:c r="G503" s="43"/>
      <x:c r="H503" s="43"/>
      <x:c r="I503" s="43"/>
      <x:c r="J503" s="43"/>
      <x:c r="K503" s="47"/>
      <x:c r="L503" s="43"/>
      <x:c r="M503" s="43"/>
    </x:row>
    <x:row r="504">
      <x:c r="A504" s="43"/>
      <x:c r="B504" s="43"/>
      <x:c r="C504" s="43"/>
      <x:c r="D504" s="45"/>
      <x:c r="E504" s="43"/>
      <x:c r="F504" s="43"/>
      <x:c r="G504" s="43"/>
      <x:c r="H504" s="43"/>
      <x:c r="I504" s="43"/>
      <x:c r="J504" s="43"/>
      <x:c r="K504" s="47"/>
      <x:c r="L504" s="43"/>
      <x:c r="M504" s="43"/>
    </x:row>
    <x:row r="505">
      <x:c r="A505" s="43"/>
      <x:c r="B505" s="43"/>
      <x:c r="C505" s="43"/>
      <x:c r="D505" s="45"/>
      <x:c r="E505" s="43"/>
      <x:c r="F505" s="43"/>
      <x:c r="G505" s="43"/>
      <x:c r="H505" s="43"/>
      <x:c r="I505" s="43"/>
      <x:c r="J505" s="43"/>
      <x:c r="K505" s="47"/>
      <x:c r="L505" s="43"/>
      <x:c r="M505" s="43"/>
    </x:row>
  </x:sheetData>
  <x:mergeCells>
    <x:mergeCell ref="A1:M1"/>
    <x:mergeCell ref="A2:M2"/>
  </x:mergeCells>
  <x:conditionalFormatting sqref="M6:M505">
    <x:cfRule type="containsText" dxfId="3" priority="1" operator="containsText" text="Oui"/>
  </x:conditionalFormatting>
  <x:dataValidations count="6">
    <x:dataValidation type="list" sqref="C6:C505">
      <x:formula1>'LISTES'!$A$6:$A$8</x:formula1>
    </x:dataValidation>
    <x:dataValidation type="list" sqref="E6:E505">
      <x:formula1>'LISTES'!$E$6:$E$11</x:formula1>
    </x:dataValidation>
    <x:dataValidation type="list" sqref="F6:F505">
      <x:formula1>'LISTES'!$F$6:$F$8</x:formula1>
    </x:dataValidation>
    <x:dataValidation type="list" sqref="G6:G505">
      <x:formula1>'LISTES'!$G$6:$G$14</x:formula1>
    </x:dataValidation>
    <x:dataValidation type="list" sqref="M6:M505">
      <x:formula1>'LISTES'!$J$6:$J$7</x:formula1>
    </x:dataValidation>
    <x:dataValidation type="list" sqref="L6:L505">
      <x:formula1>'LISTES'!$O$6:$O$6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56ac735bbb41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ELSATIA — Liste d’opposition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Accès restreint · minimum nécessaire · bloque tous les futurs lots</x:v>
      </x:c>
      <x:c r="B2" s="6"/>
      <x:c r="C2" s="6"/>
      <x:c r="D2" s="6"/>
      <x:c r="E2" s="6"/>
      <x:c r="F2" s="6"/>
      <x:c r="G2" s="6"/>
      <x:c r="H2" s="6"/>
    </x:row>
    <x:row r="4">
      <x:c r="A4" s="49" t="str">
        <x:v>Ne jamais demander de justification. Contrôler cette liste avant chaque ajout, gel et action.</x:v>
      </x:c>
      <x:c r="B4" s="49"/>
      <x:c r="C4" s="49"/>
      <x:c r="D4" s="49"/>
      <x:c r="E4" s="49"/>
      <x:c r="F4" s="49"/>
      <x:c r="G4" s="49"/>
      <x:c r="H4" s="49"/>
    </x:row>
    <x:row r="5" ht="42" customHeight="1">
      <x:c r="A5" s="16" t="str">
        <x:v>ID_OPPOSITION</x:v>
      </x:c>
      <x:c r="B5" s="24" t="str">
        <x:v>IDENTIFIANT_PROFESSIONNEL_MINIMAL</x:v>
      </x:c>
      <x:c r="C5" s="24" t="str">
        <x:v>TYPE_IDENTIFIANT</x:v>
      </x:c>
      <x:c r="D5" s="24" t="str">
        <x:v>CANAL</x:v>
      </x:c>
      <x:c r="E5" s="24" t="str">
        <x:v>DATE_OPPOSITION</x:v>
      </x:c>
      <x:c r="F5" s="24" t="str">
        <x:v>SOURCE_INTERNE</x:v>
      </x:c>
      <x:c r="G5" s="24" t="str">
        <x:v>STATUT</x:v>
      </x:c>
      <x:c r="H5" s="17" t="str">
        <x:v>ENTREPRISE_SI_UTILE</x:v>
      </x:c>
    </x:row>
    <x:row r="6">
      <x:c r="A6" s="54"/>
      <x:c r="B6" s="54"/>
      <x:c r="C6" s="54"/>
      <x:c r="D6" s="54"/>
      <x:c r="E6" s="56"/>
      <x:c r="F6" s="54"/>
      <x:c r="G6" s="54"/>
      <x:c r="H6" s="54"/>
    </x:row>
    <x:row r="7">
      <x:c r="A7" s="55"/>
      <x:c r="B7" s="55"/>
      <x:c r="C7" s="55"/>
      <x:c r="D7" s="55"/>
      <x:c r="E7" s="57"/>
      <x:c r="F7" s="55"/>
      <x:c r="G7" s="55"/>
      <x:c r="H7" s="55"/>
    </x:row>
    <x:row r="8">
      <x:c r="A8" s="55"/>
      <x:c r="B8" s="55"/>
      <x:c r="C8" s="55"/>
      <x:c r="D8" s="55"/>
      <x:c r="E8" s="57"/>
      <x:c r="F8" s="55"/>
      <x:c r="G8" s="55"/>
      <x:c r="H8" s="55"/>
    </x:row>
    <x:row r="9">
      <x:c r="A9" s="55"/>
      <x:c r="B9" s="55"/>
      <x:c r="C9" s="55"/>
      <x:c r="D9" s="55"/>
      <x:c r="E9" s="57"/>
      <x:c r="F9" s="55"/>
      <x:c r="G9" s="55"/>
      <x:c r="H9" s="55"/>
    </x:row>
    <x:row r="10">
      <x:c r="A10" s="55"/>
      <x:c r="B10" s="55"/>
      <x:c r="C10" s="55"/>
      <x:c r="D10" s="55"/>
      <x:c r="E10" s="57"/>
      <x:c r="F10" s="55"/>
      <x:c r="G10" s="55"/>
      <x:c r="H10" s="55"/>
    </x:row>
    <x:row r="11">
      <x:c r="A11" s="55"/>
      <x:c r="B11" s="55"/>
      <x:c r="C11" s="55"/>
      <x:c r="D11" s="55"/>
      <x:c r="E11" s="57"/>
      <x:c r="F11" s="55"/>
      <x:c r="G11" s="55"/>
      <x:c r="H11" s="55"/>
    </x:row>
    <x:row r="12">
      <x:c r="A12" s="55"/>
      <x:c r="B12" s="55"/>
      <x:c r="C12" s="55"/>
      <x:c r="D12" s="55"/>
      <x:c r="E12" s="57"/>
      <x:c r="F12" s="55"/>
      <x:c r="G12" s="55"/>
      <x:c r="H12" s="55"/>
    </x:row>
    <x:row r="13">
      <x:c r="A13" s="55"/>
      <x:c r="B13" s="55"/>
      <x:c r="C13" s="55"/>
      <x:c r="D13" s="55"/>
      <x:c r="E13" s="57"/>
      <x:c r="F13" s="55"/>
      <x:c r="G13" s="55"/>
      <x:c r="H13" s="55"/>
    </x:row>
    <x:row r="14">
      <x:c r="A14" s="55"/>
      <x:c r="B14" s="55"/>
      <x:c r="C14" s="55"/>
      <x:c r="D14" s="55"/>
      <x:c r="E14" s="57"/>
      <x:c r="F14" s="55"/>
      <x:c r="G14" s="55"/>
      <x:c r="H14" s="55"/>
    </x:row>
    <x:row r="15">
      <x:c r="A15" s="55"/>
      <x:c r="B15" s="55"/>
      <x:c r="C15" s="55"/>
      <x:c r="D15" s="55"/>
      <x:c r="E15" s="57"/>
      <x:c r="F15" s="55"/>
      <x:c r="G15" s="55"/>
      <x:c r="H15" s="55"/>
    </x:row>
    <x:row r="16">
      <x:c r="A16" s="55"/>
      <x:c r="B16" s="55"/>
      <x:c r="C16" s="55"/>
      <x:c r="D16" s="55"/>
      <x:c r="E16" s="57"/>
      <x:c r="F16" s="55"/>
      <x:c r="G16" s="55"/>
      <x:c r="H16" s="55"/>
    </x:row>
    <x:row r="17">
      <x:c r="A17" s="55"/>
      <x:c r="B17" s="55"/>
      <x:c r="C17" s="55"/>
      <x:c r="D17" s="55"/>
      <x:c r="E17" s="57"/>
      <x:c r="F17" s="55"/>
      <x:c r="G17" s="55"/>
      <x:c r="H17" s="55"/>
    </x:row>
    <x:row r="18">
      <x:c r="A18" s="55"/>
      <x:c r="B18" s="55"/>
      <x:c r="C18" s="55"/>
      <x:c r="D18" s="55"/>
      <x:c r="E18" s="57"/>
      <x:c r="F18" s="55"/>
      <x:c r="G18" s="55"/>
      <x:c r="H18" s="55"/>
    </x:row>
    <x:row r="19">
      <x:c r="A19" s="55"/>
      <x:c r="B19" s="55"/>
      <x:c r="C19" s="55"/>
      <x:c r="D19" s="55"/>
      <x:c r="E19" s="57"/>
      <x:c r="F19" s="55"/>
      <x:c r="G19" s="55"/>
      <x:c r="H19" s="55"/>
    </x:row>
    <x:row r="20">
      <x:c r="A20" s="55"/>
      <x:c r="B20" s="55"/>
      <x:c r="C20" s="55"/>
      <x:c r="D20" s="55"/>
      <x:c r="E20" s="57"/>
      <x:c r="F20" s="55"/>
      <x:c r="G20" s="55"/>
      <x:c r="H20" s="55"/>
    </x:row>
    <x:row r="21">
      <x:c r="A21" s="55"/>
      <x:c r="B21" s="55"/>
      <x:c r="C21" s="55"/>
      <x:c r="D21" s="55"/>
      <x:c r="E21" s="57"/>
      <x:c r="F21" s="55"/>
      <x:c r="G21" s="55"/>
      <x:c r="H21" s="55"/>
    </x:row>
    <x:row r="22">
      <x:c r="A22" s="55"/>
      <x:c r="B22" s="55"/>
      <x:c r="C22" s="55"/>
      <x:c r="D22" s="55"/>
      <x:c r="E22" s="57"/>
      <x:c r="F22" s="55"/>
      <x:c r="G22" s="55"/>
      <x:c r="H22" s="55"/>
    </x:row>
    <x:row r="23">
      <x:c r="A23" s="55"/>
      <x:c r="B23" s="55"/>
      <x:c r="C23" s="55"/>
      <x:c r="D23" s="55"/>
      <x:c r="E23" s="57"/>
      <x:c r="F23" s="55"/>
      <x:c r="G23" s="55"/>
      <x:c r="H23" s="55"/>
    </x:row>
    <x:row r="24">
      <x:c r="A24" s="55"/>
      <x:c r="B24" s="55"/>
      <x:c r="C24" s="55"/>
      <x:c r="D24" s="55"/>
      <x:c r="E24" s="57"/>
      <x:c r="F24" s="55"/>
      <x:c r="G24" s="55"/>
      <x:c r="H24" s="55"/>
    </x:row>
    <x:row r="25">
      <x:c r="A25" s="55"/>
      <x:c r="B25" s="55"/>
      <x:c r="C25" s="55"/>
      <x:c r="D25" s="55"/>
      <x:c r="E25" s="57"/>
      <x:c r="F25" s="55"/>
      <x:c r="G25" s="55"/>
      <x:c r="H25" s="55"/>
    </x:row>
    <x:row r="26">
      <x:c r="A26" s="55"/>
      <x:c r="B26" s="55"/>
      <x:c r="C26" s="55"/>
      <x:c r="D26" s="55"/>
      <x:c r="E26" s="57"/>
      <x:c r="F26" s="55"/>
      <x:c r="G26" s="55"/>
      <x:c r="H26" s="55"/>
    </x:row>
    <x:row r="27">
      <x:c r="A27" s="55"/>
      <x:c r="B27" s="55"/>
      <x:c r="C27" s="55"/>
      <x:c r="D27" s="55"/>
      <x:c r="E27" s="57"/>
      <x:c r="F27" s="55"/>
      <x:c r="G27" s="55"/>
      <x:c r="H27" s="55"/>
    </x:row>
    <x:row r="28">
      <x:c r="A28" s="55"/>
      <x:c r="B28" s="55"/>
      <x:c r="C28" s="55"/>
      <x:c r="D28" s="55"/>
      <x:c r="E28" s="57"/>
      <x:c r="F28" s="55"/>
      <x:c r="G28" s="55"/>
      <x:c r="H28" s="55"/>
    </x:row>
    <x:row r="29">
      <x:c r="A29" s="55"/>
      <x:c r="B29" s="55"/>
      <x:c r="C29" s="55"/>
      <x:c r="D29" s="55"/>
      <x:c r="E29" s="57"/>
      <x:c r="F29" s="55"/>
      <x:c r="G29" s="55"/>
      <x:c r="H29" s="55"/>
    </x:row>
    <x:row r="30">
      <x:c r="A30" s="55"/>
      <x:c r="B30" s="55"/>
      <x:c r="C30" s="55"/>
      <x:c r="D30" s="55"/>
      <x:c r="E30" s="57"/>
      <x:c r="F30" s="55"/>
      <x:c r="G30" s="55"/>
      <x:c r="H30" s="55"/>
    </x:row>
    <x:row r="31">
      <x:c r="A31" s="55"/>
      <x:c r="B31" s="55"/>
      <x:c r="C31" s="55"/>
      <x:c r="D31" s="55"/>
      <x:c r="E31" s="57"/>
      <x:c r="F31" s="55"/>
      <x:c r="G31" s="55"/>
      <x:c r="H31" s="55"/>
    </x:row>
    <x:row r="32">
      <x:c r="A32" s="55"/>
      <x:c r="B32" s="55"/>
      <x:c r="C32" s="55"/>
      <x:c r="D32" s="55"/>
      <x:c r="E32" s="57"/>
      <x:c r="F32" s="55"/>
      <x:c r="G32" s="55"/>
      <x:c r="H32" s="55"/>
    </x:row>
    <x:row r="33">
      <x:c r="A33" s="55"/>
      <x:c r="B33" s="55"/>
      <x:c r="C33" s="55"/>
      <x:c r="D33" s="55"/>
      <x:c r="E33" s="57"/>
      <x:c r="F33" s="55"/>
      <x:c r="G33" s="55"/>
      <x:c r="H33" s="55"/>
    </x:row>
    <x:row r="34">
      <x:c r="A34" s="55"/>
      <x:c r="B34" s="55"/>
      <x:c r="C34" s="55"/>
      <x:c r="D34" s="55"/>
      <x:c r="E34" s="57"/>
      <x:c r="F34" s="55"/>
      <x:c r="G34" s="55"/>
      <x:c r="H34" s="55"/>
    </x:row>
    <x:row r="35">
      <x:c r="A35" s="55"/>
      <x:c r="B35" s="55"/>
      <x:c r="C35" s="55"/>
      <x:c r="D35" s="55"/>
      <x:c r="E35" s="57"/>
      <x:c r="F35" s="55"/>
      <x:c r="G35" s="55"/>
      <x:c r="H35" s="55"/>
    </x:row>
    <x:row r="36">
      <x:c r="A36" s="55"/>
      <x:c r="B36" s="55"/>
      <x:c r="C36" s="55"/>
      <x:c r="D36" s="55"/>
      <x:c r="E36" s="57"/>
      <x:c r="F36" s="55"/>
      <x:c r="G36" s="55"/>
      <x:c r="H36" s="55"/>
    </x:row>
    <x:row r="37">
      <x:c r="A37" s="55"/>
      <x:c r="B37" s="55"/>
      <x:c r="C37" s="55"/>
      <x:c r="D37" s="55"/>
      <x:c r="E37" s="57"/>
      <x:c r="F37" s="55"/>
      <x:c r="G37" s="55"/>
      <x:c r="H37" s="55"/>
    </x:row>
    <x:row r="38">
      <x:c r="A38" s="55"/>
      <x:c r="B38" s="55"/>
      <x:c r="C38" s="55"/>
      <x:c r="D38" s="55"/>
      <x:c r="E38" s="57"/>
      <x:c r="F38" s="55"/>
      <x:c r="G38" s="55"/>
      <x:c r="H38" s="55"/>
    </x:row>
    <x:row r="39">
      <x:c r="A39" s="55"/>
      <x:c r="B39" s="55"/>
      <x:c r="C39" s="55"/>
      <x:c r="D39" s="55"/>
      <x:c r="E39" s="57"/>
      <x:c r="F39" s="55"/>
      <x:c r="G39" s="55"/>
      <x:c r="H39" s="55"/>
    </x:row>
    <x:row r="40">
      <x:c r="A40" s="55"/>
      <x:c r="B40" s="55"/>
      <x:c r="C40" s="55"/>
      <x:c r="D40" s="55"/>
      <x:c r="E40" s="57"/>
      <x:c r="F40" s="55"/>
      <x:c r="G40" s="55"/>
      <x:c r="H40" s="55"/>
    </x:row>
    <x:row r="41">
      <x:c r="A41" s="55"/>
      <x:c r="B41" s="55"/>
      <x:c r="C41" s="55"/>
      <x:c r="D41" s="55"/>
      <x:c r="E41" s="57"/>
      <x:c r="F41" s="55"/>
      <x:c r="G41" s="55"/>
      <x:c r="H41" s="55"/>
    </x:row>
    <x:row r="42">
      <x:c r="A42" s="55"/>
      <x:c r="B42" s="55"/>
      <x:c r="C42" s="55"/>
      <x:c r="D42" s="55"/>
      <x:c r="E42" s="57"/>
      <x:c r="F42" s="55"/>
      <x:c r="G42" s="55"/>
      <x:c r="H42" s="55"/>
    </x:row>
    <x:row r="43">
      <x:c r="A43" s="55"/>
      <x:c r="B43" s="55"/>
      <x:c r="C43" s="55"/>
      <x:c r="D43" s="55"/>
      <x:c r="E43" s="57"/>
      <x:c r="F43" s="55"/>
      <x:c r="G43" s="55"/>
      <x:c r="H43" s="55"/>
    </x:row>
    <x:row r="44">
      <x:c r="A44" s="55"/>
      <x:c r="B44" s="55"/>
      <x:c r="C44" s="55"/>
      <x:c r="D44" s="55"/>
      <x:c r="E44" s="57"/>
      <x:c r="F44" s="55"/>
      <x:c r="G44" s="55"/>
      <x:c r="H44" s="55"/>
    </x:row>
    <x:row r="45">
      <x:c r="A45" s="55"/>
      <x:c r="B45" s="55"/>
      <x:c r="C45" s="55"/>
      <x:c r="D45" s="55"/>
      <x:c r="E45" s="57"/>
      <x:c r="F45" s="55"/>
      <x:c r="G45" s="55"/>
      <x:c r="H45" s="55"/>
    </x:row>
    <x:row r="46">
      <x:c r="A46" s="55"/>
      <x:c r="B46" s="55"/>
      <x:c r="C46" s="55"/>
      <x:c r="D46" s="55"/>
      <x:c r="E46" s="57"/>
      <x:c r="F46" s="55"/>
      <x:c r="G46" s="55"/>
      <x:c r="H46" s="55"/>
    </x:row>
    <x:row r="47">
      <x:c r="A47" s="55"/>
      <x:c r="B47" s="55"/>
      <x:c r="C47" s="55"/>
      <x:c r="D47" s="55"/>
      <x:c r="E47" s="57"/>
      <x:c r="F47" s="55"/>
      <x:c r="G47" s="55"/>
      <x:c r="H47" s="55"/>
    </x:row>
    <x:row r="48">
      <x:c r="A48" s="55"/>
      <x:c r="B48" s="55"/>
      <x:c r="C48" s="55"/>
      <x:c r="D48" s="55"/>
      <x:c r="E48" s="57"/>
      <x:c r="F48" s="55"/>
      <x:c r="G48" s="55"/>
      <x:c r="H48" s="55"/>
    </x:row>
    <x:row r="49">
      <x:c r="A49" s="55"/>
      <x:c r="B49" s="55"/>
      <x:c r="C49" s="55"/>
      <x:c r="D49" s="55"/>
      <x:c r="E49" s="57"/>
      <x:c r="F49" s="55"/>
      <x:c r="G49" s="55"/>
      <x:c r="H49" s="55"/>
    </x:row>
    <x:row r="50">
      <x:c r="A50" s="55"/>
      <x:c r="B50" s="55"/>
      <x:c r="C50" s="55"/>
      <x:c r="D50" s="55"/>
      <x:c r="E50" s="57"/>
      <x:c r="F50" s="55"/>
      <x:c r="G50" s="55"/>
      <x:c r="H50" s="55"/>
    </x:row>
    <x:row r="51">
      <x:c r="A51" s="55"/>
      <x:c r="B51" s="55"/>
      <x:c r="C51" s="55"/>
      <x:c r="D51" s="55"/>
      <x:c r="E51" s="57"/>
      <x:c r="F51" s="55"/>
      <x:c r="G51" s="55"/>
      <x:c r="H51" s="55"/>
    </x:row>
    <x:row r="52">
      <x:c r="A52" s="55"/>
      <x:c r="B52" s="55"/>
      <x:c r="C52" s="55"/>
      <x:c r="D52" s="55"/>
      <x:c r="E52" s="57"/>
      <x:c r="F52" s="55"/>
      <x:c r="G52" s="55"/>
      <x:c r="H52" s="55"/>
    </x:row>
    <x:row r="53">
      <x:c r="A53" s="55"/>
      <x:c r="B53" s="55"/>
      <x:c r="C53" s="55"/>
      <x:c r="D53" s="55"/>
      <x:c r="E53" s="57"/>
      <x:c r="F53" s="55"/>
      <x:c r="G53" s="55"/>
      <x:c r="H53" s="55"/>
    </x:row>
    <x:row r="54">
      <x:c r="A54" s="55"/>
      <x:c r="B54" s="55"/>
      <x:c r="C54" s="55"/>
      <x:c r="D54" s="55"/>
      <x:c r="E54" s="57"/>
      <x:c r="F54" s="55"/>
      <x:c r="G54" s="55"/>
      <x:c r="H54" s="55"/>
    </x:row>
    <x:row r="55">
      <x:c r="A55" s="55"/>
      <x:c r="B55" s="55"/>
      <x:c r="C55" s="55"/>
      <x:c r="D55" s="55"/>
      <x:c r="E55" s="57"/>
      <x:c r="F55" s="55"/>
      <x:c r="G55" s="55"/>
      <x:c r="H55" s="55"/>
    </x:row>
    <x:row r="56">
      <x:c r="A56" s="55"/>
      <x:c r="B56" s="55"/>
      <x:c r="C56" s="55"/>
      <x:c r="D56" s="55"/>
      <x:c r="E56" s="57"/>
      <x:c r="F56" s="55"/>
      <x:c r="G56" s="55"/>
      <x:c r="H56" s="55"/>
    </x:row>
    <x:row r="57">
      <x:c r="A57" s="55"/>
      <x:c r="B57" s="55"/>
      <x:c r="C57" s="55"/>
      <x:c r="D57" s="55"/>
      <x:c r="E57" s="57"/>
      <x:c r="F57" s="55"/>
      <x:c r="G57" s="55"/>
      <x:c r="H57" s="55"/>
    </x:row>
    <x:row r="58">
      <x:c r="A58" s="55"/>
      <x:c r="B58" s="55"/>
      <x:c r="C58" s="55"/>
      <x:c r="D58" s="55"/>
      <x:c r="E58" s="57"/>
      <x:c r="F58" s="55"/>
      <x:c r="G58" s="55"/>
      <x:c r="H58" s="55"/>
    </x:row>
    <x:row r="59">
      <x:c r="A59" s="55"/>
      <x:c r="B59" s="55"/>
      <x:c r="C59" s="55"/>
      <x:c r="D59" s="55"/>
      <x:c r="E59" s="57"/>
      <x:c r="F59" s="55"/>
      <x:c r="G59" s="55"/>
      <x:c r="H59" s="55"/>
    </x:row>
    <x:row r="60">
      <x:c r="A60" s="55"/>
      <x:c r="B60" s="55"/>
      <x:c r="C60" s="55"/>
      <x:c r="D60" s="55"/>
      <x:c r="E60" s="57"/>
      <x:c r="F60" s="55"/>
      <x:c r="G60" s="55"/>
      <x:c r="H60" s="55"/>
    </x:row>
    <x:row r="61">
      <x:c r="A61" s="55"/>
      <x:c r="B61" s="55"/>
      <x:c r="C61" s="55"/>
      <x:c r="D61" s="55"/>
      <x:c r="E61" s="57"/>
      <x:c r="F61" s="55"/>
      <x:c r="G61" s="55"/>
      <x:c r="H61" s="55"/>
    </x:row>
    <x:row r="62">
      <x:c r="A62" s="55"/>
      <x:c r="B62" s="55"/>
      <x:c r="C62" s="55"/>
      <x:c r="D62" s="55"/>
      <x:c r="E62" s="57"/>
      <x:c r="F62" s="55"/>
      <x:c r="G62" s="55"/>
      <x:c r="H62" s="55"/>
    </x:row>
    <x:row r="63">
      <x:c r="A63" s="55"/>
      <x:c r="B63" s="55"/>
      <x:c r="C63" s="55"/>
      <x:c r="D63" s="55"/>
      <x:c r="E63" s="57"/>
      <x:c r="F63" s="55"/>
      <x:c r="G63" s="55"/>
      <x:c r="H63" s="55"/>
    </x:row>
    <x:row r="64">
      <x:c r="A64" s="55"/>
      <x:c r="B64" s="55"/>
      <x:c r="C64" s="55"/>
      <x:c r="D64" s="55"/>
      <x:c r="E64" s="57"/>
      <x:c r="F64" s="55"/>
      <x:c r="G64" s="55"/>
      <x:c r="H64" s="55"/>
    </x:row>
    <x:row r="65">
      <x:c r="A65" s="55"/>
      <x:c r="B65" s="55"/>
      <x:c r="C65" s="55"/>
      <x:c r="D65" s="55"/>
      <x:c r="E65" s="57"/>
      <x:c r="F65" s="55"/>
      <x:c r="G65" s="55"/>
      <x:c r="H65" s="55"/>
    </x:row>
    <x:row r="66">
      <x:c r="A66" s="55"/>
      <x:c r="B66" s="55"/>
      <x:c r="C66" s="55"/>
      <x:c r="D66" s="55"/>
      <x:c r="E66" s="57"/>
      <x:c r="F66" s="55"/>
      <x:c r="G66" s="55"/>
      <x:c r="H66" s="55"/>
    </x:row>
    <x:row r="67">
      <x:c r="A67" s="55"/>
      <x:c r="B67" s="55"/>
      <x:c r="C67" s="55"/>
      <x:c r="D67" s="55"/>
      <x:c r="E67" s="57"/>
      <x:c r="F67" s="55"/>
      <x:c r="G67" s="55"/>
      <x:c r="H67" s="55"/>
    </x:row>
    <x:row r="68">
      <x:c r="A68" s="55"/>
      <x:c r="B68" s="55"/>
      <x:c r="C68" s="55"/>
      <x:c r="D68" s="55"/>
      <x:c r="E68" s="57"/>
      <x:c r="F68" s="55"/>
      <x:c r="G68" s="55"/>
      <x:c r="H68" s="55"/>
    </x:row>
    <x:row r="69">
      <x:c r="A69" s="55"/>
      <x:c r="B69" s="55"/>
      <x:c r="C69" s="55"/>
      <x:c r="D69" s="55"/>
      <x:c r="E69" s="57"/>
      <x:c r="F69" s="55"/>
      <x:c r="G69" s="55"/>
      <x:c r="H69" s="55"/>
    </x:row>
    <x:row r="70">
      <x:c r="A70" s="55"/>
      <x:c r="B70" s="55"/>
      <x:c r="C70" s="55"/>
      <x:c r="D70" s="55"/>
      <x:c r="E70" s="57"/>
      <x:c r="F70" s="55"/>
      <x:c r="G70" s="55"/>
      <x:c r="H70" s="55"/>
    </x:row>
    <x:row r="71">
      <x:c r="A71" s="55"/>
      <x:c r="B71" s="55"/>
      <x:c r="C71" s="55"/>
      <x:c r="D71" s="55"/>
      <x:c r="E71" s="57"/>
      <x:c r="F71" s="55"/>
      <x:c r="G71" s="55"/>
      <x:c r="H71" s="55"/>
    </x:row>
    <x:row r="72">
      <x:c r="A72" s="55"/>
      <x:c r="B72" s="55"/>
      <x:c r="C72" s="55"/>
      <x:c r="D72" s="55"/>
      <x:c r="E72" s="57"/>
      <x:c r="F72" s="55"/>
      <x:c r="G72" s="55"/>
      <x:c r="H72" s="55"/>
    </x:row>
    <x:row r="73">
      <x:c r="A73" s="55"/>
      <x:c r="B73" s="55"/>
      <x:c r="C73" s="55"/>
      <x:c r="D73" s="55"/>
      <x:c r="E73" s="57"/>
      <x:c r="F73" s="55"/>
      <x:c r="G73" s="55"/>
      <x:c r="H73" s="55"/>
    </x:row>
    <x:row r="74">
      <x:c r="A74" s="55"/>
      <x:c r="B74" s="55"/>
      <x:c r="C74" s="55"/>
      <x:c r="D74" s="55"/>
      <x:c r="E74" s="57"/>
      <x:c r="F74" s="55"/>
      <x:c r="G74" s="55"/>
      <x:c r="H74" s="55"/>
    </x:row>
    <x:row r="75">
      <x:c r="A75" s="55"/>
      <x:c r="B75" s="55"/>
      <x:c r="C75" s="55"/>
      <x:c r="D75" s="55"/>
      <x:c r="E75" s="57"/>
      <x:c r="F75" s="55"/>
      <x:c r="G75" s="55"/>
      <x:c r="H75" s="55"/>
    </x:row>
    <x:row r="76">
      <x:c r="A76" s="55"/>
      <x:c r="B76" s="55"/>
      <x:c r="C76" s="55"/>
      <x:c r="D76" s="55"/>
      <x:c r="E76" s="57"/>
      <x:c r="F76" s="55"/>
      <x:c r="G76" s="55"/>
      <x:c r="H76" s="55"/>
    </x:row>
    <x:row r="77">
      <x:c r="A77" s="55"/>
      <x:c r="B77" s="55"/>
      <x:c r="C77" s="55"/>
      <x:c r="D77" s="55"/>
      <x:c r="E77" s="57"/>
      <x:c r="F77" s="55"/>
      <x:c r="G77" s="55"/>
      <x:c r="H77" s="55"/>
    </x:row>
    <x:row r="78">
      <x:c r="A78" s="55"/>
      <x:c r="B78" s="55"/>
      <x:c r="C78" s="55"/>
      <x:c r="D78" s="55"/>
      <x:c r="E78" s="57"/>
      <x:c r="F78" s="55"/>
      <x:c r="G78" s="55"/>
      <x:c r="H78" s="55"/>
    </x:row>
    <x:row r="79">
      <x:c r="A79" s="55"/>
      <x:c r="B79" s="55"/>
      <x:c r="C79" s="55"/>
      <x:c r="D79" s="55"/>
      <x:c r="E79" s="57"/>
      <x:c r="F79" s="55"/>
      <x:c r="G79" s="55"/>
      <x:c r="H79" s="55"/>
    </x:row>
    <x:row r="80">
      <x:c r="A80" s="55"/>
      <x:c r="B80" s="55"/>
      <x:c r="C80" s="55"/>
      <x:c r="D80" s="55"/>
      <x:c r="E80" s="57"/>
      <x:c r="F80" s="55"/>
      <x:c r="G80" s="55"/>
      <x:c r="H80" s="55"/>
    </x:row>
    <x:row r="81">
      <x:c r="A81" s="55"/>
      <x:c r="B81" s="55"/>
      <x:c r="C81" s="55"/>
      <x:c r="D81" s="55"/>
      <x:c r="E81" s="57"/>
      <x:c r="F81" s="55"/>
      <x:c r="G81" s="55"/>
      <x:c r="H81" s="55"/>
    </x:row>
    <x:row r="82">
      <x:c r="A82" s="55"/>
      <x:c r="B82" s="55"/>
      <x:c r="C82" s="55"/>
      <x:c r="D82" s="55"/>
      <x:c r="E82" s="57"/>
      <x:c r="F82" s="55"/>
      <x:c r="G82" s="55"/>
      <x:c r="H82" s="55"/>
    </x:row>
    <x:row r="83">
      <x:c r="A83" s="55"/>
      <x:c r="B83" s="55"/>
      <x:c r="C83" s="55"/>
      <x:c r="D83" s="55"/>
      <x:c r="E83" s="57"/>
      <x:c r="F83" s="55"/>
      <x:c r="G83" s="55"/>
      <x:c r="H83" s="55"/>
    </x:row>
    <x:row r="84">
      <x:c r="A84" s="55"/>
      <x:c r="B84" s="55"/>
      <x:c r="C84" s="55"/>
      <x:c r="D84" s="55"/>
      <x:c r="E84" s="57"/>
      <x:c r="F84" s="55"/>
      <x:c r="G84" s="55"/>
      <x:c r="H84" s="55"/>
    </x:row>
    <x:row r="85">
      <x:c r="A85" s="55"/>
      <x:c r="B85" s="55"/>
      <x:c r="C85" s="55"/>
      <x:c r="D85" s="55"/>
      <x:c r="E85" s="57"/>
      <x:c r="F85" s="55"/>
      <x:c r="G85" s="55"/>
      <x:c r="H85" s="55"/>
    </x:row>
    <x:row r="86">
      <x:c r="A86" s="55"/>
      <x:c r="B86" s="55"/>
      <x:c r="C86" s="55"/>
      <x:c r="D86" s="55"/>
      <x:c r="E86" s="57"/>
      <x:c r="F86" s="55"/>
      <x:c r="G86" s="55"/>
      <x:c r="H86" s="55"/>
    </x:row>
    <x:row r="87">
      <x:c r="A87" s="55"/>
      <x:c r="B87" s="55"/>
      <x:c r="C87" s="55"/>
      <x:c r="D87" s="55"/>
      <x:c r="E87" s="57"/>
      <x:c r="F87" s="55"/>
      <x:c r="G87" s="55"/>
      <x:c r="H87" s="55"/>
    </x:row>
    <x:row r="88">
      <x:c r="A88" s="55"/>
      <x:c r="B88" s="55"/>
      <x:c r="C88" s="55"/>
      <x:c r="D88" s="55"/>
      <x:c r="E88" s="57"/>
      <x:c r="F88" s="55"/>
      <x:c r="G88" s="55"/>
      <x:c r="H88" s="55"/>
    </x:row>
    <x:row r="89">
      <x:c r="A89" s="55"/>
      <x:c r="B89" s="55"/>
      <x:c r="C89" s="55"/>
      <x:c r="D89" s="55"/>
      <x:c r="E89" s="57"/>
      <x:c r="F89" s="55"/>
      <x:c r="G89" s="55"/>
      <x:c r="H89" s="55"/>
    </x:row>
    <x:row r="90">
      <x:c r="A90" s="55"/>
      <x:c r="B90" s="55"/>
      <x:c r="C90" s="55"/>
      <x:c r="D90" s="55"/>
      <x:c r="E90" s="57"/>
      <x:c r="F90" s="55"/>
      <x:c r="G90" s="55"/>
      <x:c r="H90" s="55"/>
    </x:row>
    <x:row r="91">
      <x:c r="A91" s="55"/>
      <x:c r="B91" s="55"/>
      <x:c r="C91" s="55"/>
      <x:c r="D91" s="55"/>
      <x:c r="E91" s="57"/>
      <x:c r="F91" s="55"/>
      <x:c r="G91" s="55"/>
      <x:c r="H91" s="55"/>
    </x:row>
    <x:row r="92">
      <x:c r="A92" s="55"/>
      <x:c r="B92" s="55"/>
      <x:c r="C92" s="55"/>
      <x:c r="D92" s="55"/>
      <x:c r="E92" s="57"/>
      <x:c r="F92" s="55"/>
      <x:c r="G92" s="55"/>
      <x:c r="H92" s="55"/>
    </x:row>
    <x:row r="93">
      <x:c r="A93" s="55"/>
      <x:c r="B93" s="55"/>
      <x:c r="C93" s="55"/>
      <x:c r="D93" s="55"/>
      <x:c r="E93" s="57"/>
      <x:c r="F93" s="55"/>
      <x:c r="G93" s="55"/>
      <x:c r="H93" s="55"/>
    </x:row>
    <x:row r="94">
      <x:c r="A94" s="55"/>
      <x:c r="B94" s="55"/>
      <x:c r="C94" s="55"/>
      <x:c r="D94" s="55"/>
      <x:c r="E94" s="57"/>
      <x:c r="F94" s="55"/>
      <x:c r="G94" s="55"/>
      <x:c r="H94" s="55"/>
    </x:row>
    <x:row r="95">
      <x:c r="A95" s="55"/>
      <x:c r="B95" s="55"/>
      <x:c r="C95" s="55"/>
      <x:c r="D95" s="55"/>
      <x:c r="E95" s="57"/>
      <x:c r="F95" s="55"/>
      <x:c r="G95" s="55"/>
      <x:c r="H95" s="55"/>
    </x:row>
    <x:row r="96">
      <x:c r="A96" s="55"/>
      <x:c r="B96" s="55"/>
      <x:c r="C96" s="55"/>
      <x:c r="D96" s="55"/>
      <x:c r="E96" s="57"/>
      <x:c r="F96" s="55"/>
      <x:c r="G96" s="55"/>
      <x:c r="H96" s="55"/>
    </x:row>
    <x:row r="97">
      <x:c r="A97" s="55"/>
      <x:c r="B97" s="55"/>
      <x:c r="C97" s="55"/>
      <x:c r="D97" s="55"/>
      <x:c r="E97" s="57"/>
      <x:c r="F97" s="55"/>
      <x:c r="G97" s="55"/>
      <x:c r="H97" s="55"/>
    </x:row>
    <x:row r="98">
      <x:c r="A98" s="55"/>
      <x:c r="B98" s="55"/>
      <x:c r="C98" s="55"/>
      <x:c r="D98" s="55"/>
      <x:c r="E98" s="57"/>
      <x:c r="F98" s="55"/>
      <x:c r="G98" s="55"/>
      <x:c r="H98" s="55"/>
    </x:row>
    <x:row r="99">
      <x:c r="A99" s="55"/>
      <x:c r="B99" s="55"/>
      <x:c r="C99" s="55"/>
      <x:c r="D99" s="55"/>
      <x:c r="E99" s="57"/>
      <x:c r="F99" s="55"/>
      <x:c r="G99" s="55"/>
      <x:c r="H99" s="55"/>
    </x:row>
    <x:row r="100">
      <x:c r="A100" s="55"/>
      <x:c r="B100" s="55"/>
      <x:c r="C100" s="55"/>
      <x:c r="D100" s="55"/>
      <x:c r="E100" s="57"/>
      <x:c r="F100" s="55"/>
      <x:c r="G100" s="55"/>
      <x:c r="H100" s="55"/>
    </x:row>
    <x:row r="101">
      <x:c r="A101" s="55"/>
      <x:c r="B101" s="55"/>
      <x:c r="C101" s="55"/>
      <x:c r="D101" s="55"/>
      <x:c r="E101" s="57"/>
      <x:c r="F101" s="55"/>
      <x:c r="G101" s="55"/>
      <x:c r="H101" s="55"/>
    </x:row>
    <x:row r="102">
      <x:c r="A102" s="55"/>
      <x:c r="B102" s="55"/>
      <x:c r="C102" s="55"/>
      <x:c r="D102" s="55"/>
      <x:c r="E102" s="57"/>
      <x:c r="F102" s="55"/>
      <x:c r="G102" s="55"/>
      <x:c r="H102" s="55"/>
    </x:row>
    <x:row r="103">
      <x:c r="A103" s="55"/>
      <x:c r="B103" s="55"/>
      <x:c r="C103" s="55"/>
      <x:c r="D103" s="55"/>
      <x:c r="E103" s="57"/>
      <x:c r="F103" s="55"/>
      <x:c r="G103" s="55"/>
      <x:c r="H103" s="55"/>
    </x:row>
    <x:row r="104">
      <x:c r="A104" s="55"/>
      <x:c r="B104" s="55"/>
      <x:c r="C104" s="55"/>
      <x:c r="D104" s="55"/>
      <x:c r="E104" s="57"/>
      <x:c r="F104" s="55"/>
      <x:c r="G104" s="55"/>
      <x:c r="H104" s="55"/>
    </x:row>
    <x:row r="105">
      <x:c r="A105" s="55"/>
      <x:c r="B105" s="55"/>
      <x:c r="C105" s="55"/>
      <x:c r="D105" s="55"/>
      <x:c r="E105" s="57"/>
      <x:c r="F105" s="55"/>
      <x:c r="G105" s="55"/>
      <x:c r="H105" s="55"/>
    </x:row>
    <x:row r="106">
      <x:c r="A106" s="55"/>
      <x:c r="B106" s="55"/>
      <x:c r="C106" s="55"/>
      <x:c r="D106" s="55"/>
      <x:c r="E106" s="57"/>
      <x:c r="F106" s="55"/>
      <x:c r="G106" s="55"/>
      <x:c r="H106" s="55"/>
    </x:row>
    <x:row r="107">
      <x:c r="A107" s="55"/>
      <x:c r="B107" s="55"/>
      <x:c r="C107" s="55"/>
      <x:c r="D107" s="55"/>
      <x:c r="E107" s="57"/>
      <x:c r="F107" s="55"/>
      <x:c r="G107" s="55"/>
      <x:c r="H107" s="55"/>
    </x:row>
    <x:row r="108">
      <x:c r="A108" s="55"/>
      <x:c r="B108" s="55"/>
      <x:c r="C108" s="55"/>
      <x:c r="D108" s="55"/>
      <x:c r="E108" s="57"/>
      <x:c r="F108" s="55"/>
      <x:c r="G108" s="55"/>
      <x:c r="H108" s="55"/>
    </x:row>
    <x:row r="109">
      <x:c r="A109" s="55"/>
      <x:c r="B109" s="55"/>
      <x:c r="C109" s="55"/>
      <x:c r="D109" s="55"/>
      <x:c r="E109" s="57"/>
      <x:c r="F109" s="55"/>
      <x:c r="G109" s="55"/>
      <x:c r="H109" s="55"/>
    </x:row>
    <x:row r="110">
      <x:c r="A110" s="55"/>
      <x:c r="B110" s="55"/>
      <x:c r="C110" s="55"/>
      <x:c r="D110" s="55"/>
      <x:c r="E110" s="57"/>
      <x:c r="F110" s="55"/>
      <x:c r="G110" s="55"/>
      <x:c r="H110" s="55"/>
    </x:row>
    <x:row r="111">
      <x:c r="A111" s="55"/>
      <x:c r="B111" s="55"/>
      <x:c r="C111" s="55"/>
      <x:c r="D111" s="55"/>
      <x:c r="E111" s="57"/>
      <x:c r="F111" s="55"/>
      <x:c r="G111" s="55"/>
      <x:c r="H111" s="55"/>
    </x:row>
    <x:row r="112">
      <x:c r="A112" s="55"/>
      <x:c r="B112" s="55"/>
      <x:c r="C112" s="55"/>
      <x:c r="D112" s="55"/>
      <x:c r="E112" s="57"/>
      <x:c r="F112" s="55"/>
      <x:c r="G112" s="55"/>
      <x:c r="H112" s="55"/>
    </x:row>
    <x:row r="113">
      <x:c r="A113" s="55"/>
      <x:c r="B113" s="55"/>
      <x:c r="C113" s="55"/>
      <x:c r="D113" s="55"/>
      <x:c r="E113" s="57"/>
      <x:c r="F113" s="55"/>
      <x:c r="G113" s="55"/>
      <x:c r="H113" s="55"/>
    </x:row>
    <x:row r="114">
      <x:c r="A114" s="55"/>
      <x:c r="B114" s="55"/>
      <x:c r="C114" s="55"/>
      <x:c r="D114" s="55"/>
      <x:c r="E114" s="57"/>
      <x:c r="F114" s="55"/>
      <x:c r="G114" s="55"/>
      <x:c r="H114" s="55"/>
    </x:row>
    <x:row r="115">
      <x:c r="A115" s="55"/>
      <x:c r="B115" s="55"/>
      <x:c r="C115" s="55"/>
      <x:c r="D115" s="55"/>
      <x:c r="E115" s="57"/>
      <x:c r="F115" s="55"/>
      <x:c r="G115" s="55"/>
      <x:c r="H115" s="55"/>
    </x:row>
    <x:row r="116">
      <x:c r="A116" s="55"/>
      <x:c r="B116" s="55"/>
      <x:c r="C116" s="55"/>
      <x:c r="D116" s="55"/>
      <x:c r="E116" s="57"/>
      <x:c r="F116" s="55"/>
      <x:c r="G116" s="55"/>
      <x:c r="H116" s="55"/>
    </x:row>
    <x:row r="117">
      <x:c r="A117" s="55"/>
      <x:c r="B117" s="55"/>
      <x:c r="C117" s="55"/>
      <x:c r="D117" s="55"/>
      <x:c r="E117" s="57"/>
      <x:c r="F117" s="55"/>
      <x:c r="G117" s="55"/>
      <x:c r="H117" s="55"/>
    </x:row>
    <x:row r="118">
      <x:c r="A118" s="55"/>
      <x:c r="B118" s="55"/>
      <x:c r="C118" s="55"/>
      <x:c r="D118" s="55"/>
      <x:c r="E118" s="57"/>
      <x:c r="F118" s="55"/>
      <x:c r="G118" s="55"/>
      <x:c r="H118" s="55"/>
    </x:row>
    <x:row r="119">
      <x:c r="A119" s="55"/>
      <x:c r="B119" s="55"/>
      <x:c r="C119" s="55"/>
      <x:c r="D119" s="55"/>
      <x:c r="E119" s="57"/>
      <x:c r="F119" s="55"/>
      <x:c r="G119" s="55"/>
      <x:c r="H119" s="55"/>
    </x:row>
    <x:row r="120">
      <x:c r="A120" s="55"/>
      <x:c r="B120" s="55"/>
      <x:c r="C120" s="55"/>
      <x:c r="D120" s="55"/>
      <x:c r="E120" s="57"/>
      <x:c r="F120" s="55"/>
      <x:c r="G120" s="55"/>
      <x:c r="H120" s="55"/>
    </x:row>
    <x:row r="121">
      <x:c r="A121" s="55"/>
      <x:c r="B121" s="55"/>
      <x:c r="C121" s="55"/>
      <x:c r="D121" s="55"/>
      <x:c r="E121" s="57"/>
      <x:c r="F121" s="55"/>
      <x:c r="G121" s="55"/>
      <x:c r="H121" s="55"/>
    </x:row>
    <x:row r="122">
      <x:c r="A122" s="55"/>
      <x:c r="B122" s="55"/>
      <x:c r="C122" s="55"/>
      <x:c r="D122" s="55"/>
      <x:c r="E122" s="57"/>
      <x:c r="F122" s="55"/>
      <x:c r="G122" s="55"/>
      <x:c r="H122" s="55"/>
    </x:row>
    <x:row r="123">
      <x:c r="A123" s="55"/>
      <x:c r="B123" s="55"/>
      <x:c r="C123" s="55"/>
      <x:c r="D123" s="55"/>
      <x:c r="E123" s="57"/>
      <x:c r="F123" s="55"/>
      <x:c r="G123" s="55"/>
      <x:c r="H123" s="55"/>
    </x:row>
    <x:row r="124">
      <x:c r="A124" s="55"/>
      <x:c r="B124" s="55"/>
      <x:c r="C124" s="55"/>
      <x:c r="D124" s="55"/>
      <x:c r="E124" s="57"/>
      <x:c r="F124" s="55"/>
      <x:c r="G124" s="55"/>
      <x:c r="H124" s="55"/>
    </x:row>
    <x:row r="125">
      <x:c r="A125" s="55"/>
      <x:c r="B125" s="55"/>
      <x:c r="C125" s="55"/>
      <x:c r="D125" s="55"/>
      <x:c r="E125" s="57"/>
      <x:c r="F125" s="55"/>
      <x:c r="G125" s="55"/>
      <x:c r="H125" s="55"/>
    </x:row>
    <x:row r="126">
      <x:c r="A126" s="55"/>
      <x:c r="B126" s="55"/>
      <x:c r="C126" s="55"/>
      <x:c r="D126" s="55"/>
      <x:c r="E126" s="57"/>
      <x:c r="F126" s="55"/>
      <x:c r="G126" s="55"/>
      <x:c r="H126" s="55"/>
    </x:row>
    <x:row r="127">
      <x:c r="A127" s="55"/>
      <x:c r="B127" s="55"/>
      <x:c r="C127" s="55"/>
      <x:c r="D127" s="55"/>
      <x:c r="E127" s="57"/>
      <x:c r="F127" s="55"/>
      <x:c r="G127" s="55"/>
      <x:c r="H127" s="55"/>
    </x:row>
    <x:row r="128">
      <x:c r="A128" s="55"/>
      <x:c r="B128" s="55"/>
      <x:c r="C128" s="55"/>
      <x:c r="D128" s="55"/>
      <x:c r="E128" s="57"/>
      <x:c r="F128" s="55"/>
      <x:c r="G128" s="55"/>
      <x:c r="H128" s="55"/>
    </x:row>
    <x:row r="129">
      <x:c r="A129" s="55"/>
      <x:c r="B129" s="55"/>
      <x:c r="C129" s="55"/>
      <x:c r="D129" s="55"/>
      <x:c r="E129" s="57"/>
      <x:c r="F129" s="55"/>
      <x:c r="G129" s="55"/>
      <x:c r="H129" s="55"/>
    </x:row>
    <x:row r="130">
      <x:c r="A130" s="55"/>
      <x:c r="B130" s="55"/>
      <x:c r="C130" s="55"/>
      <x:c r="D130" s="55"/>
      <x:c r="E130" s="57"/>
      <x:c r="F130" s="55"/>
      <x:c r="G130" s="55"/>
      <x:c r="H130" s="55"/>
    </x:row>
    <x:row r="131">
      <x:c r="A131" s="55"/>
      <x:c r="B131" s="55"/>
      <x:c r="C131" s="55"/>
      <x:c r="D131" s="55"/>
      <x:c r="E131" s="57"/>
      <x:c r="F131" s="55"/>
      <x:c r="G131" s="55"/>
      <x:c r="H131" s="55"/>
    </x:row>
    <x:row r="132">
      <x:c r="A132" s="55"/>
      <x:c r="B132" s="55"/>
      <x:c r="C132" s="55"/>
      <x:c r="D132" s="55"/>
      <x:c r="E132" s="57"/>
      <x:c r="F132" s="55"/>
      <x:c r="G132" s="55"/>
      <x:c r="H132" s="55"/>
    </x:row>
    <x:row r="133">
      <x:c r="A133" s="55"/>
      <x:c r="B133" s="55"/>
      <x:c r="C133" s="55"/>
      <x:c r="D133" s="55"/>
      <x:c r="E133" s="57"/>
      <x:c r="F133" s="55"/>
      <x:c r="G133" s="55"/>
      <x:c r="H133" s="55"/>
    </x:row>
    <x:row r="134">
      <x:c r="A134" s="55"/>
      <x:c r="B134" s="55"/>
      <x:c r="C134" s="55"/>
      <x:c r="D134" s="55"/>
      <x:c r="E134" s="57"/>
      <x:c r="F134" s="55"/>
      <x:c r="G134" s="55"/>
      <x:c r="H134" s="55"/>
    </x:row>
    <x:row r="135">
      <x:c r="A135" s="55"/>
      <x:c r="B135" s="55"/>
      <x:c r="C135" s="55"/>
      <x:c r="D135" s="55"/>
      <x:c r="E135" s="57"/>
      <x:c r="F135" s="55"/>
      <x:c r="G135" s="55"/>
      <x:c r="H135" s="55"/>
    </x:row>
    <x:row r="136">
      <x:c r="A136" s="55"/>
      <x:c r="B136" s="55"/>
      <x:c r="C136" s="55"/>
      <x:c r="D136" s="55"/>
      <x:c r="E136" s="57"/>
      <x:c r="F136" s="55"/>
      <x:c r="G136" s="55"/>
      <x:c r="H136" s="55"/>
    </x:row>
    <x:row r="137">
      <x:c r="A137" s="55"/>
      <x:c r="B137" s="55"/>
      <x:c r="C137" s="55"/>
      <x:c r="D137" s="55"/>
      <x:c r="E137" s="57"/>
      <x:c r="F137" s="55"/>
      <x:c r="G137" s="55"/>
      <x:c r="H137" s="55"/>
    </x:row>
    <x:row r="138">
      <x:c r="A138" s="55"/>
      <x:c r="B138" s="55"/>
      <x:c r="C138" s="55"/>
      <x:c r="D138" s="55"/>
      <x:c r="E138" s="57"/>
      <x:c r="F138" s="55"/>
      <x:c r="G138" s="55"/>
      <x:c r="H138" s="55"/>
    </x:row>
    <x:row r="139">
      <x:c r="A139" s="55"/>
      <x:c r="B139" s="55"/>
      <x:c r="C139" s="55"/>
      <x:c r="D139" s="55"/>
      <x:c r="E139" s="57"/>
      <x:c r="F139" s="55"/>
      <x:c r="G139" s="55"/>
      <x:c r="H139" s="55"/>
    </x:row>
    <x:row r="140">
      <x:c r="A140" s="55"/>
      <x:c r="B140" s="55"/>
      <x:c r="C140" s="55"/>
      <x:c r="D140" s="55"/>
      <x:c r="E140" s="57"/>
      <x:c r="F140" s="55"/>
      <x:c r="G140" s="55"/>
      <x:c r="H140" s="55"/>
    </x:row>
    <x:row r="141">
      <x:c r="A141" s="55"/>
      <x:c r="B141" s="55"/>
      <x:c r="C141" s="55"/>
      <x:c r="D141" s="55"/>
      <x:c r="E141" s="57"/>
      <x:c r="F141" s="55"/>
      <x:c r="G141" s="55"/>
      <x:c r="H141" s="55"/>
    </x:row>
    <x:row r="142">
      <x:c r="A142" s="55"/>
      <x:c r="B142" s="55"/>
      <x:c r="C142" s="55"/>
      <x:c r="D142" s="55"/>
      <x:c r="E142" s="57"/>
      <x:c r="F142" s="55"/>
      <x:c r="G142" s="55"/>
      <x:c r="H142" s="55"/>
    </x:row>
    <x:row r="143">
      <x:c r="A143" s="55"/>
      <x:c r="B143" s="55"/>
      <x:c r="C143" s="55"/>
      <x:c r="D143" s="55"/>
      <x:c r="E143" s="57"/>
      <x:c r="F143" s="55"/>
      <x:c r="G143" s="55"/>
      <x:c r="H143" s="55"/>
    </x:row>
    <x:row r="144">
      <x:c r="A144" s="55"/>
      <x:c r="B144" s="55"/>
      <x:c r="C144" s="55"/>
      <x:c r="D144" s="55"/>
      <x:c r="E144" s="57"/>
      <x:c r="F144" s="55"/>
      <x:c r="G144" s="55"/>
      <x:c r="H144" s="55"/>
    </x:row>
    <x:row r="145">
      <x:c r="A145" s="55"/>
      <x:c r="B145" s="55"/>
      <x:c r="C145" s="55"/>
      <x:c r="D145" s="55"/>
      <x:c r="E145" s="57"/>
      <x:c r="F145" s="55"/>
      <x:c r="G145" s="55"/>
      <x:c r="H145" s="55"/>
    </x:row>
    <x:row r="146">
      <x:c r="A146" s="55"/>
      <x:c r="B146" s="55"/>
      <x:c r="C146" s="55"/>
      <x:c r="D146" s="55"/>
      <x:c r="E146" s="57"/>
      <x:c r="F146" s="55"/>
      <x:c r="G146" s="55"/>
      <x:c r="H146" s="55"/>
    </x:row>
    <x:row r="147">
      <x:c r="A147" s="55"/>
      <x:c r="B147" s="55"/>
      <x:c r="C147" s="55"/>
      <x:c r="D147" s="55"/>
      <x:c r="E147" s="57"/>
      <x:c r="F147" s="55"/>
      <x:c r="G147" s="55"/>
      <x:c r="H147" s="55"/>
    </x:row>
    <x:row r="148">
      <x:c r="A148" s="55"/>
      <x:c r="B148" s="55"/>
      <x:c r="C148" s="55"/>
      <x:c r="D148" s="55"/>
      <x:c r="E148" s="57"/>
      <x:c r="F148" s="55"/>
      <x:c r="G148" s="55"/>
      <x:c r="H148" s="55"/>
    </x:row>
    <x:row r="149">
      <x:c r="A149" s="55"/>
      <x:c r="B149" s="55"/>
      <x:c r="C149" s="55"/>
      <x:c r="D149" s="55"/>
      <x:c r="E149" s="57"/>
      <x:c r="F149" s="55"/>
      <x:c r="G149" s="55"/>
      <x:c r="H149" s="55"/>
    </x:row>
    <x:row r="150">
      <x:c r="A150" s="55"/>
      <x:c r="B150" s="55"/>
      <x:c r="C150" s="55"/>
      <x:c r="D150" s="55"/>
      <x:c r="E150" s="57"/>
      <x:c r="F150" s="55"/>
      <x:c r="G150" s="55"/>
      <x:c r="H150" s="55"/>
    </x:row>
    <x:row r="151">
      <x:c r="A151" s="55"/>
      <x:c r="B151" s="55"/>
      <x:c r="C151" s="55"/>
      <x:c r="D151" s="55"/>
      <x:c r="E151" s="57"/>
      <x:c r="F151" s="55"/>
      <x:c r="G151" s="55"/>
      <x:c r="H151" s="55"/>
    </x:row>
    <x:row r="152">
      <x:c r="A152" s="55"/>
      <x:c r="B152" s="55"/>
      <x:c r="C152" s="55"/>
      <x:c r="D152" s="55"/>
      <x:c r="E152" s="57"/>
      <x:c r="F152" s="55"/>
      <x:c r="G152" s="55"/>
      <x:c r="H152" s="55"/>
    </x:row>
    <x:row r="153">
      <x:c r="A153" s="55"/>
      <x:c r="B153" s="55"/>
      <x:c r="C153" s="55"/>
      <x:c r="D153" s="55"/>
      <x:c r="E153" s="57"/>
      <x:c r="F153" s="55"/>
      <x:c r="G153" s="55"/>
      <x:c r="H153" s="55"/>
    </x:row>
    <x:row r="154">
      <x:c r="A154" s="55"/>
      <x:c r="B154" s="55"/>
      <x:c r="C154" s="55"/>
      <x:c r="D154" s="55"/>
      <x:c r="E154" s="57"/>
      <x:c r="F154" s="55"/>
      <x:c r="G154" s="55"/>
      <x:c r="H154" s="55"/>
    </x:row>
    <x:row r="155">
      <x:c r="A155" s="55"/>
      <x:c r="B155" s="55"/>
      <x:c r="C155" s="55"/>
      <x:c r="D155" s="55"/>
      <x:c r="E155" s="57"/>
      <x:c r="F155" s="55"/>
      <x:c r="G155" s="55"/>
      <x:c r="H155" s="55"/>
    </x:row>
    <x:row r="156">
      <x:c r="A156" s="55"/>
      <x:c r="B156" s="55"/>
      <x:c r="C156" s="55"/>
      <x:c r="D156" s="55"/>
      <x:c r="E156" s="57"/>
      <x:c r="F156" s="55"/>
      <x:c r="G156" s="55"/>
      <x:c r="H156" s="55"/>
    </x:row>
    <x:row r="157">
      <x:c r="A157" s="55"/>
      <x:c r="B157" s="55"/>
      <x:c r="C157" s="55"/>
      <x:c r="D157" s="55"/>
      <x:c r="E157" s="57"/>
      <x:c r="F157" s="55"/>
      <x:c r="G157" s="55"/>
      <x:c r="H157" s="55"/>
    </x:row>
    <x:row r="158">
      <x:c r="A158" s="55"/>
      <x:c r="B158" s="55"/>
      <x:c r="C158" s="55"/>
      <x:c r="D158" s="55"/>
      <x:c r="E158" s="57"/>
      <x:c r="F158" s="55"/>
      <x:c r="G158" s="55"/>
      <x:c r="H158" s="55"/>
    </x:row>
    <x:row r="159">
      <x:c r="A159" s="55"/>
      <x:c r="B159" s="55"/>
      <x:c r="C159" s="55"/>
      <x:c r="D159" s="55"/>
      <x:c r="E159" s="57"/>
      <x:c r="F159" s="55"/>
      <x:c r="G159" s="55"/>
      <x:c r="H159" s="55"/>
    </x:row>
    <x:row r="160">
      <x:c r="A160" s="55"/>
      <x:c r="B160" s="55"/>
      <x:c r="C160" s="55"/>
      <x:c r="D160" s="55"/>
      <x:c r="E160" s="57"/>
      <x:c r="F160" s="55"/>
      <x:c r="G160" s="55"/>
      <x:c r="H160" s="55"/>
    </x:row>
    <x:row r="161">
      <x:c r="A161" s="55"/>
      <x:c r="B161" s="55"/>
      <x:c r="C161" s="55"/>
      <x:c r="D161" s="55"/>
      <x:c r="E161" s="57"/>
      <x:c r="F161" s="55"/>
      <x:c r="G161" s="55"/>
      <x:c r="H161" s="55"/>
    </x:row>
    <x:row r="162">
      <x:c r="A162" s="55"/>
      <x:c r="B162" s="55"/>
      <x:c r="C162" s="55"/>
      <x:c r="D162" s="55"/>
      <x:c r="E162" s="57"/>
      <x:c r="F162" s="55"/>
      <x:c r="G162" s="55"/>
      <x:c r="H162" s="55"/>
    </x:row>
    <x:row r="163">
      <x:c r="A163" s="55"/>
      <x:c r="B163" s="55"/>
      <x:c r="C163" s="55"/>
      <x:c r="D163" s="55"/>
      <x:c r="E163" s="57"/>
      <x:c r="F163" s="55"/>
      <x:c r="G163" s="55"/>
      <x:c r="H163" s="55"/>
    </x:row>
    <x:row r="164">
      <x:c r="A164" s="55"/>
      <x:c r="B164" s="55"/>
      <x:c r="C164" s="55"/>
      <x:c r="D164" s="55"/>
      <x:c r="E164" s="57"/>
      <x:c r="F164" s="55"/>
      <x:c r="G164" s="55"/>
      <x:c r="H164" s="55"/>
    </x:row>
    <x:row r="165">
      <x:c r="A165" s="55"/>
      <x:c r="B165" s="55"/>
      <x:c r="C165" s="55"/>
      <x:c r="D165" s="55"/>
      <x:c r="E165" s="57"/>
      <x:c r="F165" s="55"/>
      <x:c r="G165" s="55"/>
      <x:c r="H165" s="55"/>
    </x:row>
    <x:row r="166">
      <x:c r="A166" s="55"/>
      <x:c r="B166" s="55"/>
      <x:c r="C166" s="55"/>
      <x:c r="D166" s="55"/>
      <x:c r="E166" s="57"/>
      <x:c r="F166" s="55"/>
      <x:c r="G166" s="55"/>
      <x:c r="H166" s="55"/>
    </x:row>
    <x:row r="167">
      <x:c r="A167" s="55"/>
      <x:c r="B167" s="55"/>
      <x:c r="C167" s="55"/>
      <x:c r="D167" s="55"/>
      <x:c r="E167" s="57"/>
      <x:c r="F167" s="55"/>
      <x:c r="G167" s="55"/>
      <x:c r="H167" s="55"/>
    </x:row>
    <x:row r="168">
      <x:c r="A168" s="55"/>
      <x:c r="B168" s="55"/>
      <x:c r="C168" s="55"/>
      <x:c r="D168" s="55"/>
      <x:c r="E168" s="57"/>
      <x:c r="F168" s="55"/>
      <x:c r="G168" s="55"/>
      <x:c r="H168" s="55"/>
    </x:row>
    <x:row r="169">
      <x:c r="A169" s="55"/>
      <x:c r="B169" s="55"/>
      <x:c r="C169" s="55"/>
      <x:c r="D169" s="55"/>
      <x:c r="E169" s="57"/>
      <x:c r="F169" s="55"/>
      <x:c r="G169" s="55"/>
      <x:c r="H169" s="55"/>
    </x:row>
    <x:row r="170">
      <x:c r="A170" s="55"/>
      <x:c r="B170" s="55"/>
      <x:c r="C170" s="55"/>
      <x:c r="D170" s="55"/>
      <x:c r="E170" s="57"/>
      <x:c r="F170" s="55"/>
      <x:c r="G170" s="55"/>
      <x:c r="H170" s="55"/>
    </x:row>
    <x:row r="171">
      <x:c r="A171" s="55"/>
      <x:c r="B171" s="55"/>
      <x:c r="C171" s="55"/>
      <x:c r="D171" s="55"/>
      <x:c r="E171" s="57"/>
      <x:c r="F171" s="55"/>
      <x:c r="G171" s="55"/>
      <x:c r="H171" s="55"/>
    </x:row>
    <x:row r="172">
      <x:c r="A172" s="55"/>
      <x:c r="B172" s="55"/>
      <x:c r="C172" s="55"/>
      <x:c r="D172" s="55"/>
      <x:c r="E172" s="57"/>
      <x:c r="F172" s="55"/>
      <x:c r="G172" s="55"/>
      <x:c r="H172" s="55"/>
    </x:row>
    <x:row r="173">
      <x:c r="A173" s="55"/>
      <x:c r="B173" s="55"/>
      <x:c r="C173" s="55"/>
      <x:c r="D173" s="55"/>
      <x:c r="E173" s="57"/>
      <x:c r="F173" s="55"/>
      <x:c r="G173" s="55"/>
      <x:c r="H173" s="55"/>
    </x:row>
    <x:row r="174">
      <x:c r="A174" s="55"/>
      <x:c r="B174" s="55"/>
      <x:c r="C174" s="55"/>
      <x:c r="D174" s="55"/>
      <x:c r="E174" s="57"/>
      <x:c r="F174" s="55"/>
      <x:c r="G174" s="55"/>
      <x:c r="H174" s="55"/>
    </x:row>
    <x:row r="175">
      <x:c r="A175" s="55"/>
      <x:c r="B175" s="55"/>
      <x:c r="C175" s="55"/>
      <x:c r="D175" s="55"/>
      <x:c r="E175" s="57"/>
      <x:c r="F175" s="55"/>
      <x:c r="G175" s="55"/>
      <x:c r="H175" s="55"/>
    </x:row>
    <x:row r="176">
      <x:c r="A176" s="55"/>
      <x:c r="B176" s="55"/>
      <x:c r="C176" s="55"/>
      <x:c r="D176" s="55"/>
      <x:c r="E176" s="57"/>
      <x:c r="F176" s="55"/>
      <x:c r="G176" s="55"/>
      <x:c r="H176" s="55"/>
    </x:row>
    <x:row r="177">
      <x:c r="A177" s="55"/>
      <x:c r="B177" s="55"/>
      <x:c r="C177" s="55"/>
      <x:c r="D177" s="55"/>
      <x:c r="E177" s="57"/>
      <x:c r="F177" s="55"/>
      <x:c r="G177" s="55"/>
      <x:c r="H177" s="55"/>
    </x:row>
    <x:row r="178">
      <x:c r="A178" s="55"/>
      <x:c r="B178" s="55"/>
      <x:c r="C178" s="55"/>
      <x:c r="D178" s="55"/>
      <x:c r="E178" s="57"/>
      <x:c r="F178" s="55"/>
      <x:c r="G178" s="55"/>
      <x:c r="H178" s="55"/>
    </x:row>
    <x:row r="179">
      <x:c r="A179" s="55"/>
      <x:c r="B179" s="55"/>
      <x:c r="C179" s="55"/>
      <x:c r="D179" s="55"/>
      <x:c r="E179" s="57"/>
      <x:c r="F179" s="55"/>
      <x:c r="G179" s="55"/>
      <x:c r="H179" s="55"/>
    </x:row>
    <x:row r="180">
      <x:c r="A180" s="55"/>
      <x:c r="B180" s="55"/>
      <x:c r="C180" s="55"/>
      <x:c r="D180" s="55"/>
      <x:c r="E180" s="57"/>
      <x:c r="F180" s="55"/>
      <x:c r="G180" s="55"/>
      <x:c r="H180" s="55"/>
    </x:row>
    <x:row r="181">
      <x:c r="A181" s="55"/>
      <x:c r="B181" s="55"/>
      <x:c r="C181" s="55"/>
      <x:c r="D181" s="55"/>
      <x:c r="E181" s="57"/>
      <x:c r="F181" s="55"/>
      <x:c r="G181" s="55"/>
      <x:c r="H181" s="55"/>
    </x:row>
    <x:row r="182">
      <x:c r="A182" s="55"/>
      <x:c r="B182" s="55"/>
      <x:c r="C182" s="55"/>
      <x:c r="D182" s="55"/>
      <x:c r="E182" s="57"/>
      <x:c r="F182" s="55"/>
      <x:c r="G182" s="55"/>
      <x:c r="H182" s="55"/>
    </x:row>
    <x:row r="183">
      <x:c r="A183" s="55"/>
      <x:c r="B183" s="55"/>
      <x:c r="C183" s="55"/>
      <x:c r="D183" s="55"/>
      <x:c r="E183" s="57"/>
      <x:c r="F183" s="55"/>
      <x:c r="G183" s="55"/>
      <x:c r="H183" s="55"/>
    </x:row>
    <x:row r="184">
      <x:c r="A184" s="55"/>
      <x:c r="B184" s="55"/>
      <x:c r="C184" s="55"/>
      <x:c r="D184" s="55"/>
      <x:c r="E184" s="57"/>
      <x:c r="F184" s="55"/>
      <x:c r="G184" s="55"/>
      <x:c r="H184" s="55"/>
    </x:row>
    <x:row r="185">
      <x:c r="A185" s="55"/>
      <x:c r="B185" s="55"/>
      <x:c r="C185" s="55"/>
      <x:c r="D185" s="55"/>
      <x:c r="E185" s="57"/>
      <x:c r="F185" s="55"/>
      <x:c r="G185" s="55"/>
      <x:c r="H185" s="55"/>
    </x:row>
    <x:row r="186">
      <x:c r="A186" s="55"/>
      <x:c r="B186" s="55"/>
      <x:c r="C186" s="55"/>
      <x:c r="D186" s="55"/>
      <x:c r="E186" s="57"/>
      <x:c r="F186" s="55"/>
      <x:c r="G186" s="55"/>
      <x:c r="H186" s="55"/>
    </x:row>
    <x:row r="187">
      <x:c r="A187" s="55"/>
      <x:c r="B187" s="55"/>
      <x:c r="C187" s="55"/>
      <x:c r="D187" s="55"/>
      <x:c r="E187" s="57"/>
      <x:c r="F187" s="55"/>
      <x:c r="G187" s="55"/>
      <x:c r="H187" s="55"/>
    </x:row>
    <x:row r="188">
      <x:c r="A188" s="55"/>
      <x:c r="B188" s="55"/>
      <x:c r="C188" s="55"/>
      <x:c r="D188" s="55"/>
      <x:c r="E188" s="57"/>
      <x:c r="F188" s="55"/>
      <x:c r="G188" s="55"/>
      <x:c r="H188" s="55"/>
    </x:row>
    <x:row r="189">
      <x:c r="A189" s="55"/>
      <x:c r="B189" s="55"/>
      <x:c r="C189" s="55"/>
      <x:c r="D189" s="55"/>
      <x:c r="E189" s="57"/>
      <x:c r="F189" s="55"/>
      <x:c r="G189" s="55"/>
      <x:c r="H189" s="55"/>
    </x:row>
    <x:row r="190">
      <x:c r="A190" s="55"/>
      <x:c r="B190" s="55"/>
      <x:c r="C190" s="55"/>
      <x:c r="D190" s="55"/>
      <x:c r="E190" s="57"/>
      <x:c r="F190" s="55"/>
      <x:c r="G190" s="55"/>
      <x:c r="H190" s="55"/>
    </x:row>
    <x:row r="191">
      <x:c r="A191" s="55"/>
      <x:c r="B191" s="55"/>
      <x:c r="C191" s="55"/>
      <x:c r="D191" s="55"/>
      <x:c r="E191" s="57"/>
      <x:c r="F191" s="55"/>
      <x:c r="G191" s="55"/>
      <x:c r="H191" s="55"/>
    </x:row>
    <x:row r="192">
      <x:c r="A192" s="55"/>
      <x:c r="B192" s="55"/>
      <x:c r="C192" s="55"/>
      <x:c r="D192" s="55"/>
      <x:c r="E192" s="57"/>
      <x:c r="F192" s="55"/>
      <x:c r="G192" s="55"/>
      <x:c r="H192" s="55"/>
    </x:row>
    <x:row r="193">
      <x:c r="A193" s="55"/>
      <x:c r="B193" s="55"/>
      <x:c r="C193" s="55"/>
      <x:c r="D193" s="55"/>
      <x:c r="E193" s="57"/>
      <x:c r="F193" s="55"/>
      <x:c r="G193" s="55"/>
      <x:c r="H193" s="55"/>
    </x:row>
    <x:row r="194">
      <x:c r="A194" s="55"/>
      <x:c r="B194" s="55"/>
      <x:c r="C194" s="55"/>
      <x:c r="D194" s="55"/>
      <x:c r="E194" s="57"/>
      <x:c r="F194" s="55"/>
      <x:c r="G194" s="55"/>
      <x:c r="H194" s="55"/>
    </x:row>
    <x:row r="195">
      <x:c r="A195" s="55"/>
      <x:c r="B195" s="55"/>
      <x:c r="C195" s="55"/>
      <x:c r="D195" s="55"/>
      <x:c r="E195" s="57"/>
      <x:c r="F195" s="55"/>
      <x:c r="G195" s="55"/>
      <x:c r="H195" s="55"/>
    </x:row>
    <x:row r="196">
      <x:c r="A196" s="55"/>
      <x:c r="B196" s="55"/>
      <x:c r="C196" s="55"/>
      <x:c r="D196" s="55"/>
      <x:c r="E196" s="57"/>
      <x:c r="F196" s="55"/>
      <x:c r="G196" s="55"/>
      <x:c r="H196" s="55"/>
    </x:row>
    <x:row r="197">
      <x:c r="A197" s="55"/>
      <x:c r="B197" s="55"/>
      <x:c r="C197" s="55"/>
      <x:c r="D197" s="55"/>
      <x:c r="E197" s="57"/>
      <x:c r="F197" s="55"/>
      <x:c r="G197" s="55"/>
      <x:c r="H197" s="55"/>
    </x:row>
    <x:row r="198">
      <x:c r="A198" s="55"/>
      <x:c r="B198" s="55"/>
      <x:c r="C198" s="55"/>
      <x:c r="D198" s="55"/>
      <x:c r="E198" s="57"/>
      <x:c r="F198" s="55"/>
      <x:c r="G198" s="55"/>
      <x:c r="H198" s="55"/>
    </x:row>
    <x:row r="199">
      <x:c r="A199" s="55"/>
      <x:c r="B199" s="55"/>
      <x:c r="C199" s="55"/>
      <x:c r="D199" s="55"/>
      <x:c r="E199" s="57"/>
      <x:c r="F199" s="55"/>
      <x:c r="G199" s="55"/>
      <x:c r="H199" s="55"/>
    </x:row>
    <x:row r="200">
      <x:c r="A200" s="55"/>
      <x:c r="B200" s="55"/>
      <x:c r="C200" s="55"/>
      <x:c r="D200" s="55"/>
      <x:c r="E200" s="57"/>
      <x:c r="F200" s="55"/>
      <x:c r="G200" s="55"/>
      <x:c r="H200" s="55"/>
    </x:row>
    <x:row r="201">
      <x:c r="A201" s="55"/>
      <x:c r="B201" s="55"/>
      <x:c r="C201" s="55"/>
      <x:c r="D201" s="55"/>
      <x:c r="E201" s="57"/>
      <x:c r="F201" s="55"/>
      <x:c r="G201" s="55"/>
      <x:c r="H201" s="55"/>
    </x:row>
    <x:row r="202">
      <x:c r="A202" s="55"/>
      <x:c r="B202" s="55"/>
      <x:c r="C202" s="55"/>
      <x:c r="D202" s="55"/>
      <x:c r="E202" s="57"/>
      <x:c r="F202" s="55"/>
      <x:c r="G202" s="55"/>
      <x:c r="H202" s="55"/>
    </x:row>
    <x:row r="203">
      <x:c r="A203" s="55"/>
      <x:c r="B203" s="55"/>
      <x:c r="C203" s="55"/>
      <x:c r="D203" s="55"/>
      <x:c r="E203" s="57"/>
      <x:c r="F203" s="55"/>
      <x:c r="G203" s="55"/>
      <x:c r="H203" s="55"/>
    </x:row>
    <x:row r="204">
      <x:c r="A204" s="55"/>
      <x:c r="B204" s="55"/>
      <x:c r="C204" s="55"/>
      <x:c r="D204" s="55"/>
      <x:c r="E204" s="57"/>
      <x:c r="F204" s="55"/>
      <x:c r="G204" s="55"/>
      <x:c r="H204" s="55"/>
    </x:row>
    <x:row r="205">
      <x:c r="A205" s="55"/>
      <x:c r="B205" s="55"/>
      <x:c r="C205" s="55"/>
      <x:c r="D205" s="55"/>
      <x:c r="E205" s="57"/>
      <x:c r="F205" s="55"/>
      <x:c r="G205" s="55"/>
      <x:c r="H205" s="55"/>
    </x:row>
  </x:sheetData>
  <x:mergeCells>
    <x:mergeCell ref="A1:H1"/>
    <x:mergeCell ref="A2:H2"/>
    <x:mergeCell ref="A4:H4"/>
  </x:mergeCells>
  <x:dataValidations count="3">
    <x:dataValidation type="list" sqref="C6:C205">
      <x:formula1>'LISTES'!$M$6:$M$8</x:formula1>
    </x:dataValidation>
    <x:dataValidation type="list" sqref="D6:D205">
      <x:formula1>'LISTES'!$E$6:$E$11</x:formula1>
    </x:dataValidation>
    <x:dataValidation type="list" sqref="G6:G205">
      <x:formula1>'LISTES'!$N$6:$N$6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08fbbe8ac64f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ELSATIA — Tableau de bord pilote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Formules calculées à partir des fiches et actions réelles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6" t="str">
        <x:v>INDICATEUR</x:v>
      </x:c>
      <x:c r="B4" s="17" t="str">
        <x:v>TOTAL PILOTE</x:v>
      </x:c>
      <x:c r="D4" s="16" t="str">
        <x:v>LOT</x:v>
      </x:c>
      <x:c r="E4" s="24" t="str">
        <x:v>PROSPECTS</x:v>
      </x:c>
      <x:c r="F4" s="24" t="str">
        <x:v>CONTACTÉS</x:v>
      </x:c>
      <x:c r="G4" s="24" t="str">
        <x:v>RÉPONSES</x:v>
      </x:c>
      <x:c r="H4" s="17" t="str">
        <x:v>OPPOSITIONS</x:v>
      </x:c>
    </x:row>
    <x:row r="5">
      <x:c r="A5" s="59" t="str">
        <x:v>Prospects saisis</x:v>
      </x:c>
      <x:c r="B5" s="67" t="n">
        <x:f>COUNTA('PROSPECTS'!$A$6:$A$205)</x:f>
        <x:v>0</x:v>
      </x:c>
      <x:c r="D5" s="59" t="str">
        <x:v>Lot 1</x:v>
      </x:c>
      <x:c r="E5" s="71" t="n">
        <x:f>COUNTIF('PROSPECTS'!$B$6:$B$205,D5)</x:f>
        <x:v>0</x:v>
      </x:c>
      <x:c r="F5" s="71" t="n">
        <x:f>COUNTIFS('PROSPECTS'!$B$6:$B$205,D5,'PROSPECTS'!$AK$6:$AK$205,"&lt;&gt;")</x:f>
        <x:v>0</x:v>
      </x:c>
      <x:c r="G5" s="71" t="n">
        <x:f>COUNTIFS('PROSPECTS'!$B$6:$B$205,D5,'PROSPECTS'!$AU$6:$AU$205,"&lt;&gt;")</x:f>
        <x:v>0</x:v>
      </x:c>
      <x:c r="H5" s="71" t="n">
        <x:f>COUNTIFS('PROSPECTS'!$B$6:$B$205,D5,'PROSPECTS'!$BE$6:$BE$205,"Oui")</x:f>
        <x:v>0</x:v>
      </x:c>
    </x:row>
    <x:row r="6">
      <x:c r="A6" s="60" t="str">
        <x:v>P1 / P2</x:v>
      </x:c>
      <x:c r="B6" s="68" t="n">
        <x:f>COUNTIF('PROSPECTS'!$C$6:$C$205,"P1")+COUNTIF('PROSPECTS'!$C$6:$C$205,"P2")</x:f>
        <x:v>0</x:v>
      </x:c>
      <x:c r="D6" s="60" t="str">
        <x:v>Lot 2</x:v>
      </x:c>
      <x:c r="E6" s="72" t="n">
        <x:f>COUNTIF('PROSPECTS'!$B$6:$B$205,D6)</x:f>
        <x:v>0</x:v>
      </x:c>
      <x:c r="F6" s="72" t="n">
        <x:f>COUNTIFS('PROSPECTS'!$B$6:$B$205,D6,'PROSPECTS'!$AK$6:$AK$205,"&lt;&gt;")</x:f>
        <x:v>0</x:v>
      </x:c>
      <x:c r="G6" s="72" t="n">
        <x:f>COUNTIFS('PROSPECTS'!$B$6:$B$205,D6,'PROSPECTS'!$AU$6:$AU$205,"&lt;&gt;")</x:f>
        <x:v>0</x:v>
      </x:c>
      <x:c r="H6" s="72" t="n">
        <x:f>COUNTIFS('PROSPECTS'!$B$6:$B$205,D6,'PROSPECTS'!$BE$6:$BE$205,"Oui")</x:f>
        <x:v>0</x:v>
      </x:c>
    </x:row>
    <x:row r="7">
      <x:c r="A7" s="60" t="str">
        <x:v>Contacts réalisés</x:v>
      </x:c>
      <x:c r="B7" s="68" t="n">
        <x:f>COUNT('PROSPECTS'!$AK$6:$AK$205)</x:f>
        <x:v>0</x:v>
      </x:c>
      <x:c r="D7" s="60" t="str">
        <x:v>Lot 3</x:v>
      </x:c>
      <x:c r="E7" s="72" t="n">
        <x:f>COUNTIF('PROSPECTS'!$B$6:$B$205,D7)</x:f>
        <x:v>0</x:v>
      </x:c>
      <x:c r="F7" s="72" t="n">
        <x:f>COUNTIFS('PROSPECTS'!$B$6:$B$205,D7,'PROSPECTS'!$AK$6:$AK$205,"&lt;&gt;")</x:f>
        <x:v>0</x:v>
      </x:c>
      <x:c r="G7" s="72" t="n">
        <x:f>COUNTIFS('PROSPECTS'!$B$6:$B$205,D7,'PROSPECTS'!$AU$6:$AU$205,"&lt;&gt;")</x:f>
        <x:v>0</x:v>
      </x:c>
      <x:c r="H7" s="72" t="n">
        <x:f>COUNTIFS('PROSPECTS'!$B$6:$B$205,D7,'PROSPECTS'!$BE$6:$BE$205,"Oui")</x:f>
        <x:v>0</x:v>
      </x:c>
    </x:row>
    <x:row r="8">
      <x:c r="A8" s="60" t="str">
        <x:v>Réponses</x:v>
      </x:c>
      <x:c r="B8" s="68" t="n">
        <x:f>COUNT('PROSPECTS'!$AU$6:$AU$205)</x:f>
        <x:v>0</x:v>
      </x:c>
    </x:row>
    <x:row r="9">
      <x:c r="A9" s="60" t="str">
        <x:v>Échanges</x:v>
      </x:c>
      <x:c r="B9" s="68" t="n">
        <x:f>COUNT('PROSPECTS'!$AV$6:$AV$205)</x:f>
        <x:v>0</x:v>
      </x:c>
    </x:row>
    <x:row r="10">
      <x:c r="A10" s="60" t="str">
        <x:v>Démos planifiées</x:v>
      </x:c>
      <x:c r="B10" s="68" t="n">
        <x:f>COUNT('PROSPECTS'!$AW$6:$AW$205)</x:f>
        <x:v>0</x:v>
      </x:c>
      <x:c r="D10" s="74" t="str">
        <x:v>LECTURE OBLIGATOIRE</x:v>
      </x:c>
      <x:c r="E10" s="74"/>
      <x:c r="F10" s="74"/>
      <x:c r="G10" s="74"/>
      <x:c r="H10" s="74"/>
    </x:row>
    <x:row r="11">
      <x:c r="A11" s="60" t="str">
        <x:v>Démos réalisées</x:v>
      </x:c>
      <x:c r="B11" s="68" t="n">
        <x:f>COUNT('PROSPECTS'!$AX$6:$AX$205)</x:f>
        <x:v>0</x:v>
      </x:c>
      <x:c r="D11" s="78" t="str">
        <x:v>Afficher les nombres bruts avec les taux. Ne jamais présenter un taux comme garanti. Une ouverture d’e-mail n’est pas une réponse. Le passage au lot suivant dépend de la revue GO / NO-GO, pas seulement du volume de réponses.</x:v>
      </x:c>
      <x:c r="E11" s="78"/>
      <x:c r="F11" s="78"/>
      <x:c r="G11" s="78"/>
      <x:c r="H11" s="78"/>
    </x:row>
    <x:row r="12">
      <x:c r="A12" s="60" t="str">
        <x:v>Essais démarrés</x:v>
      </x:c>
      <x:c r="B12" s="68" t="n">
        <x:f>COUNT('PROSPECTS'!$AY$6:$AY$205)</x:f>
        <x:v>0</x:v>
      </x:c>
      <x:c r="D12" s="78"/>
      <x:c r="E12" s="78"/>
      <x:c r="F12" s="78"/>
      <x:c r="G12" s="78"/>
      <x:c r="H12" s="78"/>
    </x:row>
    <x:row r="13">
      <x:c r="A13" s="60" t="str">
        <x:v>Essais actifs</x:v>
      </x:c>
      <x:c r="B13" s="68" t="n">
        <x:f>COUNTIFS('PROSPECTS'!$AY$6:$AY$205,"&lt;&gt;",'PROSPECTS'!$AZ$6:$AZ$205,"")</x:f>
        <x:v>0</x:v>
      </x:c>
      <x:c r="D13" s="78"/>
      <x:c r="E13" s="78"/>
      <x:c r="F13" s="78"/>
      <x:c r="G13" s="78"/>
      <x:c r="H13" s="78"/>
    </x:row>
    <x:row r="14">
      <x:c r="A14" s="60" t="str">
        <x:v>Propositions</x:v>
      </x:c>
      <x:c r="B14" s="68" t="n">
        <x:f>COUNT('PROSPECTS'!$BA$6:$BA$205)</x:f>
        <x:v>0</x:v>
      </x:c>
      <x:c r="D14" s="78"/>
      <x:c r="E14" s="78"/>
      <x:c r="F14" s="78"/>
      <x:c r="G14" s="78"/>
      <x:c r="H14" s="78"/>
    </x:row>
    <x:row r="15">
      <x:c r="A15" s="60" t="str">
        <x:v>Gagnés</x:v>
      </x:c>
      <x:c r="B15" s="68" t="n">
        <x:f>COUNTIF('PROSPECTS'!$BB$6:$BB$205,"Gagné")</x:f>
        <x:v>0</x:v>
      </x:c>
      <x:c r="D15" s="78"/>
      <x:c r="E15" s="78"/>
      <x:c r="F15" s="78"/>
      <x:c r="G15" s="78"/>
      <x:c r="H15" s="78"/>
    </x:row>
    <x:row r="16">
      <x:c r="A16" s="60" t="str">
        <x:v>Perdus</x:v>
      </x:c>
      <x:c r="B16" s="68" t="n">
        <x:f>COUNTIF('PROSPECTS'!$BB$6:$BB$205,"Perdu")</x:f>
        <x:v>0</x:v>
      </x:c>
      <x:c r="D16" s="78"/>
      <x:c r="E16" s="78"/>
      <x:c r="F16" s="78"/>
      <x:c r="G16" s="78"/>
      <x:c r="H16" s="78"/>
    </x:row>
    <x:row r="17">
      <x:c r="A17" s="60" t="str">
        <x:v>Oppositions</x:v>
      </x:c>
      <x:c r="B17" s="68" t="n">
        <x:f>COUNTIF('PROSPECTS'!$BE$6:$BE$205,"Oui")</x:f>
        <x:v>0</x:v>
      </x:c>
    </x:row>
    <x:row r="18">
      <x:c r="A18" s="60" t="str">
        <x:v>Taux de réponse</x:v>
      </x:c>
      <x:c r="B18" s="69" t="n">
        <x:f>IF(B7=0,0,B8/B7)</x:f>
        <x:v>0</x:v>
      </x:c>
    </x:row>
    <x:row r="19">
      <x:c r="A19" s="60" t="str">
        <x:v>Taux démo / échanges</x:v>
      </x:c>
      <x:c r="B19" s="69" t="n">
        <x:f>IF(B9=0,0,B10/B9)</x:f>
        <x:v>0</x:v>
      </x:c>
    </x:row>
    <x:row r="20">
      <x:c r="A20" s="60" t="str">
        <x:v>Taux essai / démos</x:v>
      </x:c>
      <x:c r="B20" s="69" t="n">
        <x:f>IF(B11=0,0,B12/B11)</x:f>
        <x:v>0</x:v>
      </x:c>
    </x:row>
    <x:row r="21">
      <x:c r="A21" s="60" t="str">
        <x:v>Taux de gain / décisions</x:v>
      </x:c>
      <x:c r="B21" s="69" t="n">
        <x:f>IF((B15+B16)=0,0,B15/(B15+B16))</x:f>
        <x:v>0</x:v>
      </x:c>
    </x:row>
  </x:sheetData>
  <x:mergeCells>
    <x:mergeCell ref="A1:H1"/>
    <x:mergeCell ref="A2:H2"/>
    <x:mergeCell ref="D10:H10"/>
    <x:mergeCell ref="D11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</x:cols>
  <x:sheetData>
    <x:row r="1" ht="32" customHeight="1">
      <x:c r="A1" s="3" t="str">
        <x:v>ELSATIA — Listes contrôlées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Ne modifier qu’après validation de la méthode commerciale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5" ht="42" customHeight="1">
      <x:c r="A5" s="16" t="str">
        <x:v>LOTS</x:v>
      </x:c>
      <x:c r="B5" s="24" t="str">
        <x:v>CLASSIFICATIONS</x:v>
      </x:c>
      <x:c r="C5" s="24" t="str">
        <x:v>STATUTS_PIPELINE</x:v>
      </x:c>
      <x:c r="D5" s="24" t="str">
        <x:v>SCORES</x:v>
      </x:c>
      <x:c r="E5" s="24" t="str">
        <x:v>CANAUX</x:v>
      </x:c>
      <x:c r="F5" s="24" t="str">
        <x:v>SENS</x:v>
      </x:c>
      <x:c r="G5" s="24" t="str">
        <x:v>TYPES_ACTION</x:v>
      </x:c>
      <x:c r="H5" s="24" t="str">
        <x:v>OFFRES</x:v>
      </x:c>
      <x:c r="I5" s="24" t="str">
        <x:v>DECISIONS</x:v>
      </x:c>
      <x:c r="J5" s="24" t="str">
        <x:v>OUI_NON</x:v>
      </x:c>
      <x:c r="K5" s="24" t="str">
        <x:v>RAISONS_RESULTAT</x:v>
      </x:c>
      <x:c r="L5" s="24" t="str">
        <x:v>ACTIVITES</x:v>
      </x:c>
      <x:c r="M5" s="24" t="str">
        <x:v>TYPES_IDENTIFIANT</x:v>
      </x:c>
      <x:c r="N5" s="17" t="str">
        <x:v>STATUT_OPPOSITION</x:v>
      </x:c>
      <x:c r="O5" s="82" t="str">
        <x:v>RESPONSABLES</x:v>
      </x:c>
    </x:row>
    <x:row r="6">
      <x:c r="A6" s="20" t="str">
        <x:v>Lot 1</x:v>
      </x:c>
      <x:c r="B6" s="20" t="str">
        <x:v>P1</x:v>
      </x:c>
      <x:c r="C6" s="20" t="str">
        <x:v>À rechercher</x:v>
      </x:c>
      <x:c r="D6" s="20" t="n">
        <x:v>0</x:v>
      </x:c>
      <x:c r="E6" s="20" t="str">
        <x:v>E-mail</x:v>
      </x:c>
      <x:c r="F6" s="20" t="str">
        <x:v>Entrant</x:v>
      </x:c>
      <x:c r="G6" s="20" t="str">
        <x:v>Premier contact</x:v>
      </x:c>
      <x:c r="H6" s="20" t="str">
        <x:v>Mini</x:v>
      </x:c>
      <x:c r="I6" s="20" t="str">
        <x:v>Gagné</x:v>
      </x:c>
      <x:c r="J6" s="20" t="str">
        <x:v>Oui</x:v>
      </x:c>
      <x:c r="K6" s="20" t="str">
        <x:v>Centralisation</x:v>
      </x:c>
      <x:c r="L6" s="20" t="str">
        <x:v>Second œuvre</x:v>
      </x:c>
      <x:c r="M6" s="20" t="str">
        <x:v>E-mail professionnel</x:v>
      </x:c>
      <x:c r="N6" s="20" t="str">
        <x:v>NE PLUS CONTACTER</x:v>
      </x:c>
      <x:c r="O6" s="83" t="str">
        <x:v>Julien GREGUREC</x:v>
      </x:c>
    </x:row>
    <x:row r="7">
      <x:c r="A7" s="21" t="str">
        <x:v>Lot 2</x:v>
      </x:c>
      <x:c r="B7" s="21" t="str">
        <x:v>P2</x:v>
      </x:c>
      <x:c r="C7" s="21" t="str">
        <x:v>Qualifié</x:v>
      </x:c>
      <x:c r="D7" s="21" t="n">
        <x:v>5</x:v>
      </x:c>
      <x:c r="E7" s="21" t="str">
        <x:v>Téléphone</x:v>
      </x:c>
      <x:c r="F7" s="21" t="str">
        <x:v>Sortant</x:v>
      </x:c>
      <x:c r="G7" s="21" t="str">
        <x:v>Relance</x:v>
      </x:c>
      <x:c r="H7" s="21" t="str">
        <x:v>Pro</x:v>
      </x:c>
      <x:c r="I7" s="21" t="str">
        <x:v>Perdu</x:v>
      </x:c>
      <x:c r="J7" s="21" t="str">
        <x:v>Non</x:v>
      </x:c>
      <x:c r="K7" s="21" t="str">
        <x:v>Terrain/mobile</x:v>
      </x:c>
      <x:c r="L7" s="21" t="str">
        <x:v>Aménagement intérieur</x:v>
      </x:c>
      <x:c r="M7" s="21" t="str">
        <x:v>Téléphone professionnel</x:v>
      </x:c>
      <x:c r="N7" s="21"/>
    </x:row>
    <x:row r="8">
      <x:c r="A8" s="21" t="str">
        <x:v>Lot 3</x:v>
      </x:c>
      <x:c r="B8" s="21" t="str">
        <x:v>P3</x:v>
      </x:c>
      <x:c r="C8" s="21" t="str">
        <x:v>À contacter</x:v>
      </x:c>
      <x:c r="D8" s="21" t="n">
        <x:v>10</x:v>
      </x:c>
      <x:c r="E8" s="21" t="str">
        <x:v>LinkedIn</x:v>
      </x:c>
      <x:c r="F8" s="21" t="str">
        <x:v>Interne</x:v>
      </x:c>
      <x:c r="G8" s="21" t="str">
        <x:v>Qualification</x:v>
      </x:c>
      <x:c r="H8" s="21" t="str">
        <x:v>Business</x:v>
      </x:c>
      <x:c r="I8" s="21" t="str">
        <x:v>À reprendre plus tard</x:v>
      </x:c>
      <x:c r="J8" s="21"/>
      <x:c r="K8" s="21" t="str">
        <x:v>Planning</x:v>
      </x:c>
      <x:c r="L8" s="21" t="str">
        <x:v>Rénovation</x:v>
      </x:c>
      <x:c r="M8" s="21" t="str">
        <x:v>SIREN + canal</x:v>
      </x:c>
      <x:c r="N8" s="21"/>
    </x:row>
    <x:row r="9">
      <x:c r="A9" s="21"/>
      <x:c r="B9" s="21" t="str">
        <x:v>Faible priorité</x:v>
      </x:c>
      <x:c r="C9" s="21" t="str">
        <x:v>Contacté</x:v>
      </x:c>
      <x:c r="D9" s="21" t="str">
        <x:v>?</x:v>
      </x:c>
      <x:c r="E9" s="21" t="str">
        <x:v>Visio</x:v>
      </x:c>
      <x:c r="F9" s="21"/>
      <x:c r="G9" s="21" t="str">
        <x:v>Démonstration</x:v>
      </x:c>
      <x:c r="H9" s="21" t="str">
        <x:v>Entreprise</x:v>
      </x:c>
      <x:c r="I9" s="21"/>
      <x:c r="J9" s="21"/>
      <x:c r="K9" s="21" t="str">
        <x:v>Administratif</x:v>
      </x:c>
      <x:c r="L9" s="21" t="str">
        <x:v>Cloison/plâtrerie</x:v>
      </x:c>
      <x:c r="M9" s="21"/>
      <x:c r="N9" s="21"/>
    </x:row>
    <x:row r="10">
      <x:c r="A10" s="21"/>
      <x:c r="B10" s="21" t="str">
        <x:v>À rechercher</x:v>
      </x:c>
      <x:c r="C10" s="21" t="str">
        <x:v>Relance 1</x:v>
      </x:c>
      <x:c r="D10" s="21"/>
      <x:c r="E10" s="21" t="str">
        <x:v>Présentiel</x:v>
      </x:c>
      <x:c r="F10" s="21"/>
      <x:c r="G10" s="21" t="str">
        <x:v>Essai</x:v>
      </x:c>
      <x:c r="H10" s="21" t="str">
        <x:v>Sur mesure</x:v>
      </x:c>
      <x:c r="I10" s="21"/>
      <x:c r="J10" s="21"/>
      <x:c r="K10" s="21" t="str">
        <x:v>Rentabilité</x:v>
      </x:c>
      <x:c r="L10" s="21" t="str">
        <x:v>Peinture</x:v>
      </x:c>
      <x:c r="M10" s="21"/>
      <x:c r="N10" s="21"/>
    </x:row>
    <x:row r="11">
      <x:c r="A11" s="21"/>
      <x:c r="B11" s="21"/>
      <x:c r="C11" s="21" t="str">
        <x:v>Relance 2</x:v>
      </x:c>
      <x:c r="D11" s="21"/>
      <x:c r="E11" s="21" t="str">
        <x:v>Interne</x:v>
      </x:c>
      <x:c r="F11" s="21"/>
      <x:c r="G11" s="21" t="str">
        <x:v>Proposition</x:v>
      </x:c>
      <x:c r="H11" s="21" t="str">
        <x:v>À cadrer</x:v>
      </x:c>
      <x:c r="I11" s="21"/>
      <x:c r="J11" s="21"/>
      <x:c r="K11" s="21" t="str">
        <x:v>IA</x:v>
      </x:c>
      <x:c r="L11" s="21" t="str">
        <x:v>Revêtements de sols</x:v>
      </x:c>
      <x:c r="M11" s="21"/>
      <x:c r="N11" s="21"/>
    </x:row>
    <x:row r="12">
      <x:c r="A12" s="21"/>
      <x:c r="B12" s="21"/>
      <x:c r="C12" s="21" t="str">
        <x:v>Échange obtenu</x:v>
      </x:c>
      <x:c r="D12" s="21"/>
      <x:c r="E12" s="21"/>
      <x:c r="F12" s="21"/>
      <x:c r="G12" s="21" t="str">
        <x:v>Décision</x:v>
      </x:c>
      <x:c r="H12" s="21"/>
      <x:c r="I12" s="21"/>
      <x:c r="J12" s="21"/>
      <x:c r="K12" s="21" t="str">
        <x:v>Prix/offre adaptée</x:v>
      </x:c>
      <x:c r="L12" s="21" t="str">
        <x:v>Menuiserie</x:v>
      </x:c>
      <x:c r="M12" s="21"/>
      <x:c r="N12" s="21"/>
    </x:row>
    <x:row r="13">
      <x:c r="A13" s="21"/>
      <x:c r="B13" s="21"/>
      <x:c r="C13" s="21" t="str">
        <x:v>Démo planifiée</x:v>
      </x:c>
      <x:c r="D13" s="21"/>
      <x:c r="E13" s="21"/>
      <x:c r="F13" s="21"/>
      <x:c r="G13" s="21" t="str">
        <x:v>Opposition</x:v>
      </x:c>
      <x:c r="H13" s="21"/>
      <x:c r="I13" s="21"/>
      <x:c r="J13" s="21"/>
      <x:c r="K13" s="21" t="str">
        <x:v>Accompagnement</x:v>
      </x:c>
      <x:c r="L13" s="21" t="str">
        <x:v>Électricité</x:v>
      </x:c>
      <x:c r="M13" s="21"/>
      <x:c r="N13" s="21"/>
    </x:row>
    <x:row r="14">
      <x:c r="A14" s="21"/>
      <x:c r="B14" s="21"/>
      <x:c r="C14" s="21" t="str">
        <x:v>Démo réalisée</x:v>
      </x:c>
      <x:c r="D14" s="21"/>
      <x:c r="E14" s="21"/>
      <x:c r="F14" s="21"/>
      <x:c r="G14" s="21" t="str">
        <x:v>Action interne</x:v>
      </x:c>
      <x:c r="H14" s="21"/>
      <x:c r="I14" s="21"/>
      <x:c r="J14" s="21"/>
      <x:c r="K14" s="21" t="str">
        <x:v>Logiciel existant</x:v>
      </x:c>
      <x:c r="L14" s="21" t="str">
        <x:v>Plomberie/CVC</x:v>
      </x:c>
      <x:c r="M14" s="21"/>
      <x:c r="N14" s="21"/>
    </x:row>
    <x:row r="15">
      <x:c r="A15" s="21"/>
      <x:c r="B15" s="21"/>
      <x:c r="C15" s="21" t="str">
        <x:v>Essai 30 jours</x:v>
      </x:c>
      <x:c r="D15" s="21"/>
      <x:c r="E15" s="21"/>
      <x:c r="F15" s="21"/>
      <x:c r="G15" s="21"/>
      <x:c r="H15" s="21"/>
      <x:c r="I15" s="21"/>
      <x:c r="J15" s="21"/>
      <x:c r="K15" s="21" t="str">
        <x:v>Manque de besoin</x:v>
      </x:c>
      <x:c r="L15" s="21" t="str">
        <x:v>Autre métier à vérifier</x:v>
      </x:c>
      <x:c r="M15" s="21"/>
      <x:c r="N15" s="21"/>
    </x:row>
    <x:row r="16">
      <x:c r="A16" s="21"/>
      <x:c r="B16" s="21"/>
      <x:c r="C16" s="21" t="str">
        <x:v>Proposition</x:v>
      </x:c>
      <x:c r="D16" s="21"/>
      <x:c r="E16" s="21"/>
      <x:c r="F16" s="21"/>
      <x:c r="G16" s="21"/>
      <x:c r="H16" s="21"/>
      <x:c r="I16" s="21"/>
      <x:c r="J16" s="21"/>
      <x:c r="K16" s="21" t="str">
        <x:v>Fonction manquante</x:v>
      </x:c>
      <x:c r="L16" s="21"/>
      <x:c r="M16" s="21"/>
      <x:c r="N16" s="21"/>
    </x:row>
    <x:row r="17">
      <x:c r="A17" s="21"/>
      <x:c r="B17" s="21"/>
      <x:c r="C17" s="21" t="str">
        <x:v>Gagné</x:v>
      </x:c>
      <x:c r="D17" s="21"/>
      <x:c r="E17" s="21"/>
      <x:c r="F17" s="21"/>
      <x:c r="G17" s="21"/>
      <x:c r="H17" s="21"/>
      <x:c r="I17" s="21"/>
      <x:c r="J17" s="21"/>
      <x:c r="K17" s="21" t="str">
        <x:v>Décision reportée</x:v>
      </x:c>
      <x:c r="L17" s="21"/>
      <x:c r="M17" s="21"/>
      <x:c r="N17" s="21"/>
    </x:row>
    <x:row r="18">
      <x:c r="A18" s="21"/>
      <x:c r="B18" s="21"/>
      <x:c r="C18" s="21" t="str">
        <x:v>Perdu</x:v>
      </x:c>
      <x:c r="D18" s="21"/>
      <x:c r="E18" s="21"/>
      <x:c r="F18" s="21"/>
      <x:c r="G18" s="21"/>
      <x:c r="H18" s="21"/>
      <x:c r="I18" s="21"/>
      <x:c r="J18" s="21"/>
      <x:c r="K18" s="21" t="str">
        <x:v>Timing</x:v>
      </x:c>
      <x:c r="L18" s="21"/>
      <x:c r="M18" s="21"/>
      <x:c r="N18" s="21"/>
    </x:row>
    <x:row r="19">
      <x:c r="A19" s="21"/>
      <x:c r="B19" s="21"/>
      <x:c r="C19" s="21" t="str">
        <x:v>À reprendre plus tard</x:v>
      </x:c>
      <x:c r="D19" s="21"/>
      <x:c r="E19" s="21"/>
      <x:c r="F19" s="21"/>
      <x:c r="G19" s="21"/>
      <x:c r="H19" s="21"/>
      <x:c r="I19" s="21"/>
      <x:c r="J19" s="21"/>
      <x:c r="K19" s="21" t="str">
        <x:v>Mauvaise cible</x:v>
      </x:c>
      <x:c r="L19" s="21"/>
      <x:c r="M19" s="21"/>
      <x:c r="N19" s="21"/>
    </x:row>
    <x:row r="20">
      <x:c r="A20" s="21"/>
      <x:c r="B20" s="21"/>
      <x:c r="C20" s="21" t="str">
        <x:v>Opposition — ne plus contacter</x:v>
      </x:c>
      <x:c r="D20" s="21"/>
      <x:c r="E20" s="21"/>
      <x:c r="F20" s="21"/>
      <x:c r="G20" s="21"/>
      <x:c r="H20" s="21"/>
      <x:c r="I20" s="21"/>
      <x:c r="J20" s="21"/>
      <x:c r="K20" s="21" t="str">
        <x:v>Concurrent</x:v>
      </x:c>
      <x:c r="L20" s="21"/>
      <x:c r="M20" s="21"/>
      <x:c r="N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 t="str">
        <x:v>Absence de budget</x:v>
      </x:c>
      <x:c r="L21" s="21"/>
      <x:c r="M21" s="21"/>
      <x:c r="N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 t="str">
        <x:v>Sécurité/contractuel</x:v>
      </x:c>
      <x:c r="L22" s="21"/>
      <x:c r="M22" s="21"/>
      <x:c r="N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 t="str">
        <x:v>Pas de réponse</x:v>
      </x:c>
      <x:c r="L23" s="21"/>
      <x:c r="M23" s="21"/>
      <x:c r="N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 t="str">
        <x:v>Autre raison factuelle</x:v>
      </x:c>
      <x:c r="L24" s="21"/>
      <x:c r="M24" s="21"/>
      <x:c r="N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</x:row>
  </x:sheetData>
  <x:mergeCells>
    <x:mergeCell ref="A1:N1"/>
    <x:mergeCell ref="A2:N2"/>
  </x:mergeCells>
  <x:pageMargins left="0.7" right="0.7" top="0.75" bottom="0.75" header="0.3" footer="0.3"/>
</x:worksheet>
</file>